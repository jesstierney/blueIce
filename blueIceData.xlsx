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t/Library/CloudStorage/Dropbox/blueIce/"/>
    </mc:Choice>
  </mc:AlternateContent>
  <xr:revisionPtr revIDLastSave="0" documentId="13_ncr:1_{A0502B85-75FA-A04F-AA95-5E05D70AD64F}" xr6:coauthVersionLast="47" xr6:coauthVersionMax="47" xr10:uidLastSave="{00000000-0000-0000-0000-000000000000}"/>
  <bookViews>
    <workbookView xWindow="18260" yWindow="10140" windowWidth="29380" windowHeight="15140" xr2:uid="{E7B7DD3A-D12D-CA45-8402-C1170DE88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F58" i="1" l="1"/>
  <c r="F57" i="1"/>
  <c r="F56" i="1"/>
  <c r="F54" i="1"/>
  <c r="F44" i="1"/>
  <c r="F42" i="1"/>
</calcChain>
</file>

<file path=xl/sharedStrings.xml><?xml version="1.0" encoding="utf-8"?>
<sst xmlns="http://schemas.openxmlformats.org/spreadsheetml/2006/main" count="123" uniqueCount="31">
  <si>
    <t>Age</t>
  </si>
  <si>
    <t>d13C</t>
  </si>
  <si>
    <t>IceCore</t>
  </si>
  <si>
    <t>ALHIC1901</t>
  </si>
  <si>
    <t>NotPristine</t>
  </si>
  <si>
    <t>SnapshotLong</t>
  </si>
  <si>
    <t>TopDepth</t>
  </si>
  <si>
    <t>BottomDepth</t>
  </si>
  <si>
    <t>Notes</t>
  </si>
  <si>
    <t>AgeErrR</t>
  </si>
  <si>
    <t>AgeErrA</t>
  </si>
  <si>
    <t>CO2m</t>
  </si>
  <si>
    <t>CO2dC</t>
  </si>
  <si>
    <t>Xe rejected for this sample</t>
  </si>
  <si>
    <t>CH4</t>
  </si>
  <si>
    <t>dO2N2</t>
  </si>
  <si>
    <t>d18Oatm</t>
  </si>
  <si>
    <t>d18Oice</t>
  </si>
  <si>
    <t>dDice</t>
  </si>
  <si>
    <t>water isotopes are average of duplicate</t>
  </si>
  <si>
    <t>Xe rejected for this sample water isotopes are average of duplicate</t>
  </si>
  <si>
    <t>CO2pubCorr</t>
  </si>
  <si>
    <t>CO2mErr</t>
  </si>
  <si>
    <t>dXeKrErr</t>
  </si>
  <si>
    <t>dXeKr</t>
  </si>
  <si>
    <t>CH4err</t>
  </si>
  <si>
    <t>If no replicate present CO2mErr is assumed 1.2 and CH4 2.7 the median of the errors</t>
  </si>
  <si>
    <t>MOT</t>
  </si>
  <si>
    <t>MOTErr</t>
  </si>
  <si>
    <t>MOTAErr</t>
  </si>
  <si>
    <t>date swapped with date below compared to Xe spreadsheet these are listed as the same sample in most spreadsheets so treated as a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</si>
</sst>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2" fontId="2" fillId="0" borderId="0" xfId="0" applyNumberFormat="1" applyFont="1"/>
    <xf numFmtId="0" fontId="0" fillId="2" borderId="0" xfId="0" applyFill="1"/>
    <xf numFmtId="2" fontId="1" fillId="2" borderId="0" xfId="0" applyNumberFormat="1" applyFont="1" applyFill="1"/>
    <xf numFmtId="164" fontId="0" fillId="2" borderId="0" xfId="0" applyNumberFormat="1" applyFill="1"/>
    <xf numFmtId="2" fontId="0" fillId="2" borderId="0" xfId="0" applyNumberForma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2EE6-BF33-7349-BB0D-52C30E6349CA}">
  <dimension ref="A1:Y92"/>
  <sheetViews>
    <sheetView tabSelected="1" topLeftCell="A41" workbookViewId="0">
      <selection activeCell="Y36" sqref="Y36"/>
    </sheetView>
  </sheetViews>
  <sheetFormatPr baseColWidth="10" defaultRowHeight="16" x14ac:dyDescent="0.2"/>
  <cols>
    <col min="1" max="1" width="9.83203125" customWidth="1"/>
    <col min="3" max="3" width="11.83203125" customWidth="1"/>
    <col min="4" max="6" width="6.83203125" customWidth="1"/>
    <col min="7" max="8" width="7.33203125" customWidth="1"/>
    <col min="9" max="9" width="6.83203125" customWidth="1"/>
    <col min="10" max="10" width="7.6640625" customWidth="1"/>
    <col min="11" max="11" width="8.6640625" customWidth="1"/>
    <col min="12" max="12" width="7.6640625" customWidth="1"/>
    <col min="13" max="13" width="6.1640625" customWidth="1"/>
    <col min="14" max="14" width="7.83203125" customWidth="1"/>
    <col min="15" max="15" width="8.5" customWidth="1"/>
    <col min="16" max="21" width="7.83203125" customWidth="1"/>
    <col min="22" max="22" width="9.1640625" customWidth="1"/>
    <col min="23" max="23" width="10.1640625" customWidth="1"/>
    <col min="24" max="24" width="12.83203125" customWidth="1"/>
  </cols>
  <sheetData>
    <row r="1" spans="1:25" x14ac:dyDescent="0.2">
      <c r="A1" t="s">
        <v>2</v>
      </c>
      <c r="B1" t="s">
        <v>6</v>
      </c>
      <c r="C1" t="s">
        <v>7</v>
      </c>
      <c r="D1" t="s">
        <v>0</v>
      </c>
      <c r="E1" t="s">
        <v>9</v>
      </c>
      <c r="F1" t="s">
        <v>10</v>
      </c>
      <c r="G1" t="s">
        <v>14</v>
      </c>
      <c r="H1" t="s">
        <v>25</v>
      </c>
      <c r="I1" t="s">
        <v>11</v>
      </c>
      <c r="J1" t="s">
        <v>12</v>
      </c>
      <c r="K1" t="s">
        <v>22</v>
      </c>
      <c r="L1" t="s">
        <v>21</v>
      </c>
      <c r="M1" t="s">
        <v>1</v>
      </c>
      <c r="N1" t="s">
        <v>15</v>
      </c>
      <c r="O1" t="s">
        <v>16</v>
      </c>
      <c r="P1" t="s">
        <v>24</v>
      </c>
      <c r="Q1" t="s">
        <v>23</v>
      </c>
      <c r="R1" t="s">
        <v>27</v>
      </c>
      <c r="S1" t="s">
        <v>28</v>
      </c>
      <c r="T1" t="s">
        <v>29</v>
      </c>
      <c r="U1" t="s">
        <v>17</v>
      </c>
      <c r="V1" t="s">
        <v>18</v>
      </c>
      <c r="W1" t="s">
        <v>4</v>
      </c>
      <c r="X1" t="s">
        <v>5</v>
      </c>
      <c r="Y1" t="s">
        <v>8</v>
      </c>
    </row>
    <row r="2" spans="1:25" x14ac:dyDescent="0.2">
      <c r="A2" t="s">
        <v>3</v>
      </c>
      <c r="B2">
        <v>119.69499999999999</v>
      </c>
      <c r="C2">
        <f>B2+0.1</f>
        <v>119.79499999999999</v>
      </c>
      <c r="D2">
        <v>435.12656691584698</v>
      </c>
      <c r="E2">
        <v>53.234254365441501</v>
      </c>
      <c r="F2">
        <v>71.587994116330506</v>
      </c>
      <c r="P2">
        <v>-0.30593244362331401</v>
      </c>
      <c r="Q2">
        <v>0.18044464562582799</v>
      </c>
      <c r="R2">
        <v>-0.30593244362331401</v>
      </c>
      <c r="S2">
        <v>0.35480212307352899</v>
      </c>
      <c r="T2">
        <v>0.6130942395239769</v>
      </c>
      <c r="U2">
        <v>-35.945084006872499</v>
      </c>
      <c r="V2">
        <v>-289.21079323414898</v>
      </c>
      <c r="W2">
        <v>0</v>
      </c>
      <c r="X2">
        <v>0</v>
      </c>
    </row>
    <row r="3" spans="1:25" x14ac:dyDescent="0.2">
      <c r="A3" t="s">
        <v>3</v>
      </c>
      <c r="B3">
        <v>121.925</v>
      </c>
      <c r="C3">
        <v>122.02500000000001</v>
      </c>
      <c r="D3">
        <v>456.03451611272101</v>
      </c>
      <c r="E3">
        <v>59.3430600733112</v>
      </c>
      <c r="F3">
        <v>77.704602730386597</v>
      </c>
      <c r="G3">
        <v>467.92557499304797</v>
      </c>
      <c r="H3">
        <v>2.7</v>
      </c>
      <c r="I3">
        <v>230.5161249271288</v>
      </c>
      <c r="K3">
        <v>1.2</v>
      </c>
      <c r="N3" s="2"/>
      <c r="O3" s="3"/>
      <c r="P3" s="3">
        <v>-1.1732253087601801</v>
      </c>
      <c r="Q3" s="3">
        <v>0.17142731656810201</v>
      </c>
      <c r="R3" s="3">
        <v>-1.1732253087601801</v>
      </c>
      <c r="S3" s="3">
        <v>0.41716437991558802</v>
      </c>
      <c r="T3" s="3">
        <v>0.65117288017112407</v>
      </c>
      <c r="U3" s="3">
        <v>-38.011391872749599</v>
      </c>
      <c r="V3" s="3">
        <v>-303.87520542143102</v>
      </c>
      <c r="W3">
        <v>0</v>
      </c>
      <c r="X3">
        <v>0</v>
      </c>
      <c r="Y3" t="s">
        <v>26</v>
      </c>
    </row>
    <row r="4" spans="1:25" x14ac:dyDescent="0.2">
      <c r="A4" t="s">
        <v>3</v>
      </c>
      <c r="B4">
        <v>123.325</v>
      </c>
      <c r="C4">
        <v>123.375</v>
      </c>
      <c r="D4">
        <v>558.46275426150703</v>
      </c>
      <c r="E4">
        <v>59.3430600733112</v>
      </c>
      <c r="F4">
        <v>85.412848087524495</v>
      </c>
      <c r="G4">
        <v>461.12661526560362</v>
      </c>
      <c r="H4">
        <v>2.7</v>
      </c>
      <c r="I4">
        <v>224.67937253146326</v>
      </c>
      <c r="K4">
        <v>1.2</v>
      </c>
      <c r="N4" s="2"/>
      <c r="O4" s="3"/>
      <c r="P4" s="3">
        <v>-2.14699463640489</v>
      </c>
      <c r="Q4" s="3">
        <v>0.17142731656810201</v>
      </c>
      <c r="R4" s="3">
        <v>-2.14699463640489</v>
      </c>
      <c r="S4" s="3">
        <v>0.55077332326084405</v>
      </c>
      <c r="T4" s="3">
        <v>0.74387583212240083</v>
      </c>
      <c r="U4" s="3">
        <v>-38.464901496157196</v>
      </c>
      <c r="V4" s="3">
        <v>-307.28612924745602</v>
      </c>
      <c r="W4">
        <v>0</v>
      </c>
      <c r="X4">
        <v>0</v>
      </c>
    </row>
    <row r="5" spans="1:25" x14ac:dyDescent="0.2">
      <c r="A5" t="s">
        <v>3</v>
      </c>
      <c r="B5">
        <v>124.905</v>
      </c>
      <c r="C5">
        <v>124.955</v>
      </c>
      <c r="D5">
        <v>826.53598254713302</v>
      </c>
      <c r="E5">
        <v>53.234254365441501</v>
      </c>
      <c r="F5">
        <v>105.357215112354</v>
      </c>
      <c r="G5">
        <v>526.98410510425617</v>
      </c>
      <c r="H5">
        <v>2.7</v>
      </c>
      <c r="I5">
        <v>271.63759106580409</v>
      </c>
      <c r="J5">
        <v>273.57306429776679</v>
      </c>
      <c r="K5">
        <v>1.2</v>
      </c>
      <c r="L5" s="9">
        <v>253.87279999999998</v>
      </c>
      <c r="M5">
        <v>-7.9219999999999997</v>
      </c>
      <c r="N5" s="2"/>
      <c r="O5" s="3"/>
      <c r="P5" s="3">
        <v>-1.45828867402698</v>
      </c>
      <c r="Q5" s="3">
        <v>0.18044464562582799</v>
      </c>
      <c r="R5" s="3">
        <v>-1.45828867402698</v>
      </c>
      <c r="S5" s="3">
        <v>0.42719620130198299</v>
      </c>
      <c r="T5" s="3">
        <v>0.65764473266866841</v>
      </c>
      <c r="U5" s="3">
        <v>-36.903426610111502</v>
      </c>
      <c r="V5" s="3">
        <v>-291.93317989879199</v>
      </c>
      <c r="W5">
        <v>1</v>
      </c>
      <c r="X5">
        <v>0</v>
      </c>
    </row>
    <row r="6" spans="1:25" x14ac:dyDescent="0.2">
      <c r="A6" t="s">
        <v>3</v>
      </c>
      <c r="B6">
        <v>128.13499999999999</v>
      </c>
      <c r="C6">
        <v>128.19499999999999</v>
      </c>
      <c r="D6">
        <v>607.58991213524496</v>
      </c>
      <c r="E6">
        <v>59.3430600733112</v>
      </c>
      <c r="F6">
        <v>89.3784165497446</v>
      </c>
      <c r="L6" s="9"/>
      <c r="N6" s="2"/>
      <c r="O6" s="3"/>
      <c r="P6" s="3">
        <v>2.4590284771086601E-2</v>
      </c>
      <c r="Q6" s="3">
        <v>0.17142731656810201</v>
      </c>
      <c r="R6" s="3">
        <v>2.4590284771086601E-2</v>
      </c>
      <c r="S6" s="3">
        <v>0.34495217371390102</v>
      </c>
      <c r="T6" s="3">
        <v>0.60744711880948565</v>
      </c>
      <c r="U6" s="3">
        <v>-36.382588238785999</v>
      </c>
      <c r="V6" s="3">
        <v>-290.89874895748102</v>
      </c>
      <c r="W6">
        <v>0</v>
      </c>
      <c r="X6">
        <v>0</v>
      </c>
    </row>
    <row r="7" spans="1:25" x14ac:dyDescent="0.2">
      <c r="A7" t="s">
        <v>3</v>
      </c>
      <c r="B7">
        <v>128.91499999999999</v>
      </c>
      <c r="C7">
        <v>129.07499999999999</v>
      </c>
      <c r="D7">
        <v>590.72666727918704</v>
      </c>
      <c r="E7">
        <v>53.234254365441501</v>
      </c>
      <c r="F7">
        <v>84.001652261162803</v>
      </c>
      <c r="L7" s="9"/>
      <c r="N7" s="2"/>
      <c r="O7" s="3"/>
      <c r="P7" s="3">
        <v>-1.6029365486603899</v>
      </c>
      <c r="Q7" s="3">
        <v>0.18044464562582799</v>
      </c>
      <c r="R7" s="3">
        <v>-1.6029365486603899</v>
      </c>
      <c r="S7" s="3">
        <v>0.47425413366283098</v>
      </c>
      <c r="T7" s="3">
        <v>0.68914220832588857</v>
      </c>
      <c r="U7" s="3">
        <v>-38.006656978464797</v>
      </c>
      <c r="V7" s="3">
        <v>-302.44182039807203</v>
      </c>
      <c r="W7">
        <v>0</v>
      </c>
      <c r="X7">
        <v>0</v>
      </c>
    </row>
    <row r="8" spans="1:25" x14ac:dyDescent="0.2">
      <c r="A8" t="s">
        <v>3</v>
      </c>
      <c r="B8">
        <v>129.80500000000001</v>
      </c>
      <c r="C8">
        <v>129.85499999999999</v>
      </c>
      <c r="D8">
        <v>580.29425135983502</v>
      </c>
      <c r="E8">
        <v>59.3430600733112</v>
      </c>
      <c r="F8">
        <v>87.156009193950595</v>
      </c>
      <c r="L8" s="9"/>
      <c r="N8" s="2"/>
      <c r="O8" s="3"/>
      <c r="P8" s="3">
        <v>-1.2542090392121401</v>
      </c>
      <c r="Q8" s="3">
        <v>0.17142731656810201</v>
      </c>
      <c r="R8" s="3">
        <v>-1.2542090392121401</v>
      </c>
      <c r="S8" s="3">
        <v>0.42648496741080799</v>
      </c>
      <c r="T8" s="3">
        <v>0.65718294821715961</v>
      </c>
      <c r="U8" s="3">
        <v>-38.037907280744399</v>
      </c>
      <c r="V8" s="3">
        <v>-304.40239474413698</v>
      </c>
      <c r="W8">
        <v>0</v>
      </c>
      <c r="X8">
        <v>0</v>
      </c>
    </row>
    <row r="9" spans="1:25" x14ac:dyDescent="0.2">
      <c r="A9" t="s">
        <v>3</v>
      </c>
      <c r="B9">
        <v>130.655</v>
      </c>
      <c r="C9">
        <v>130.755</v>
      </c>
      <c r="D9">
        <v>677.63945757554905</v>
      </c>
      <c r="E9">
        <v>53.234254365441501</v>
      </c>
      <c r="F9">
        <v>91.597752018541698</v>
      </c>
      <c r="G9">
        <v>527.45836635665989</v>
      </c>
      <c r="H9">
        <v>2.7</v>
      </c>
      <c r="I9">
        <v>293.45491615166435</v>
      </c>
      <c r="J9">
        <v>293.15817398606475</v>
      </c>
      <c r="K9">
        <v>1.2</v>
      </c>
      <c r="L9" s="9">
        <v>270.68173333333334</v>
      </c>
      <c r="M9">
        <v>-8.0709999999999997</v>
      </c>
      <c r="N9" s="2"/>
      <c r="O9" s="3"/>
      <c r="P9" s="3">
        <v>-1.4507304098489999</v>
      </c>
      <c r="Q9" s="3">
        <v>0.18044464562582799</v>
      </c>
      <c r="R9" s="3">
        <v>-1.4507304098489999</v>
      </c>
      <c r="S9" s="3">
        <v>0.45423067819936602</v>
      </c>
      <c r="T9" s="3">
        <v>0.67551869627528149</v>
      </c>
      <c r="U9" s="3">
        <v>-37.110814979784799</v>
      </c>
      <c r="V9" s="3">
        <v>-296.97804925535701</v>
      </c>
      <c r="W9">
        <v>1</v>
      </c>
      <c r="X9">
        <v>0</v>
      </c>
    </row>
    <row r="10" spans="1:25" x14ac:dyDescent="0.2">
      <c r="A10" t="s">
        <v>3</v>
      </c>
      <c r="B10">
        <v>131.565</v>
      </c>
      <c r="C10">
        <v>131.60499999999999</v>
      </c>
      <c r="D10">
        <v>788.02136209295395</v>
      </c>
      <c r="E10">
        <v>53.234254365441501</v>
      </c>
      <c r="F10">
        <v>101.723721962648</v>
      </c>
      <c r="L10" s="9"/>
      <c r="N10" s="2"/>
      <c r="O10" s="3"/>
      <c r="P10" s="3">
        <v>-0.95995177750962701</v>
      </c>
      <c r="Q10" s="3">
        <v>0.18044464562582799</v>
      </c>
      <c r="R10" s="3">
        <v>-0.95995177750962701</v>
      </c>
      <c r="S10" s="3">
        <v>0.39874936581866299</v>
      </c>
      <c r="T10" s="3">
        <v>0.63953190439632168</v>
      </c>
      <c r="U10" s="3">
        <v>-36.980131897524899</v>
      </c>
      <c r="V10" s="3">
        <v>-294.23666477728301</v>
      </c>
      <c r="W10">
        <v>0</v>
      </c>
      <c r="X10">
        <v>0</v>
      </c>
    </row>
    <row r="11" spans="1:25" x14ac:dyDescent="0.2">
      <c r="A11" t="s">
        <v>3</v>
      </c>
      <c r="B11">
        <v>132.33500000000001</v>
      </c>
      <c r="C11">
        <v>132.42500000000001</v>
      </c>
      <c r="D11">
        <v>872.55598844912902</v>
      </c>
      <c r="E11">
        <v>53.234254365441501</v>
      </c>
      <c r="F11">
        <v>109.755494937081</v>
      </c>
      <c r="G11">
        <v>570.34153503069808</v>
      </c>
      <c r="H11">
        <v>2.7</v>
      </c>
      <c r="I11">
        <v>259.896227802434</v>
      </c>
      <c r="J11">
        <v>261.39948883155694</v>
      </c>
      <c r="K11">
        <v>1.2</v>
      </c>
      <c r="L11" s="9">
        <v>246.06151111111112</v>
      </c>
      <c r="M11">
        <v>-7.6239999999999997</v>
      </c>
      <c r="N11" s="2"/>
      <c r="O11" s="3"/>
      <c r="P11" s="3">
        <v>-1.1138980050757801</v>
      </c>
      <c r="Q11" s="3">
        <v>0.18044464562582799</v>
      </c>
      <c r="R11" s="3">
        <v>-1.1138980050757801</v>
      </c>
      <c r="S11" s="3">
        <v>0.38348808425230402</v>
      </c>
      <c r="T11" s="3">
        <v>0.63012943968957857</v>
      </c>
      <c r="U11" s="3">
        <v>-37.356082503736303</v>
      </c>
      <c r="V11" s="3">
        <v>-297.26586612883398</v>
      </c>
      <c r="W11">
        <v>1</v>
      </c>
      <c r="X11">
        <v>0</v>
      </c>
    </row>
    <row r="12" spans="1:25" x14ac:dyDescent="0.2">
      <c r="A12" t="s">
        <v>3</v>
      </c>
      <c r="B12">
        <v>133.63499999999999</v>
      </c>
      <c r="C12">
        <v>133.685</v>
      </c>
      <c r="D12">
        <v>800.27390742313298</v>
      </c>
      <c r="E12">
        <v>53.234254365441501</v>
      </c>
      <c r="F12">
        <v>102.874630465252</v>
      </c>
      <c r="G12">
        <v>492.14390295497435</v>
      </c>
      <c r="H12">
        <v>2.7</v>
      </c>
      <c r="I12">
        <v>263.48705122211055</v>
      </c>
      <c r="J12">
        <v>270.29388112506098</v>
      </c>
      <c r="K12">
        <v>1.2</v>
      </c>
      <c r="L12" s="9">
        <v>251.64604444444444</v>
      </c>
      <c r="M12">
        <v>-7.8730000000000002</v>
      </c>
      <c r="N12" s="2"/>
      <c r="O12" s="3"/>
      <c r="P12" s="3">
        <v>-1.1698617260413899</v>
      </c>
      <c r="Q12" s="3">
        <v>0.18044464562582799</v>
      </c>
      <c r="R12" s="3">
        <v>-1.1698617260413899</v>
      </c>
      <c r="S12" s="3">
        <v>0.39009667834690898</v>
      </c>
      <c r="T12" s="3">
        <v>0.63417301933880144</v>
      </c>
      <c r="U12" s="3">
        <v>-37.5227507825605</v>
      </c>
      <c r="V12" s="3">
        <v>-298.159713250756</v>
      </c>
      <c r="W12">
        <v>1</v>
      </c>
      <c r="X12">
        <v>0</v>
      </c>
    </row>
    <row r="13" spans="1:25" x14ac:dyDescent="0.2">
      <c r="A13" t="s">
        <v>3</v>
      </c>
      <c r="B13">
        <v>134.465</v>
      </c>
      <c r="C13">
        <v>134.52500000000001</v>
      </c>
      <c r="D13">
        <v>857.81442801549895</v>
      </c>
      <c r="E13">
        <v>61.828991696401097</v>
      </c>
      <c r="F13">
        <v>112.812037870182</v>
      </c>
      <c r="G13">
        <v>455.12961400740858</v>
      </c>
      <c r="H13">
        <v>4.1298846540696843</v>
      </c>
      <c r="I13">
        <v>235.65814933868413</v>
      </c>
      <c r="K13">
        <v>0.44827414254044123</v>
      </c>
      <c r="N13" s="1">
        <v>-7.6391655658956292</v>
      </c>
      <c r="O13" s="3">
        <v>0.1597857971699545</v>
      </c>
      <c r="P13" s="3">
        <v>-0.982694358700686</v>
      </c>
      <c r="Q13" s="3">
        <v>0.20904526340805399</v>
      </c>
      <c r="R13" s="3">
        <v>-0.982694358700686</v>
      </c>
      <c r="S13" s="3">
        <v>0.38366592272213701</v>
      </c>
      <c r="T13" s="3">
        <v>0.63023768552684056</v>
      </c>
      <c r="U13" s="3">
        <v>-37.9617227030419</v>
      </c>
      <c r="V13" s="3">
        <v>-303.05291759155699</v>
      </c>
      <c r="W13">
        <v>0</v>
      </c>
      <c r="X13">
        <v>0</v>
      </c>
    </row>
    <row r="14" spans="1:25" x14ac:dyDescent="0.2">
      <c r="A14" t="s">
        <v>3</v>
      </c>
      <c r="B14">
        <v>135.19499999999999</v>
      </c>
      <c r="C14">
        <v>135.35499999999999</v>
      </c>
      <c r="D14">
        <v>781.21301395348098</v>
      </c>
      <c r="E14">
        <v>61.828991696401097</v>
      </c>
      <c r="F14">
        <v>105.864908584262</v>
      </c>
      <c r="G14">
        <v>514.20878440707565</v>
      </c>
      <c r="H14">
        <v>8.4077834545898327</v>
      </c>
      <c r="I14">
        <v>249.42733102251609</v>
      </c>
      <c r="K14">
        <v>0.27874541859230817</v>
      </c>
      <c r="N14" s="2">
        <v>-10.007707110647253</v>
      </c>
      <c r="O14" s="3">
        <v>6.2820175698894684E-2</v>
      </c>
      <c r="P14" s="3">
        <v>-1.3277760550293201</v>
      </c>
      <c r="Q14" s="3">
        <v>0.20904526340805399</v>
      </c>
      <c r="R14" s="3">
        <v>-1.3277760550293201</v>
      </c>
      <c r="S14" s="3">
        <v>0.45144211394785799</v>
      </c>
      <c r="T14" s="3">
        <v>0.67364677854622801</v>
      </c>
      <c r="U14" s="3">
        <v>-36.4553099634361</v>
      </c>
      <c r="V14" s="3">
        <v>-290.89606779772203</v>
      </c>
      <c r="W14">
        <v>0</v>
      </c>
      <c r="X14">
        <v>0</v>
      </c>
    </row>
    <row r="15" spans="1:25" x14ac:dyDescent="0.2">
      <c r="A15" t="s">
        <v>3</v>
      </c>
      <c r="B15">
        <v>136.185</v>
      </c>
      <c r="C15">
        <v>136.315</v>
      </c>
      <c r="D15">
        <v>776.22887637775796</v>
      </c>
      <c r="E15">
        <v>61.828991696401097</v>
      </c>
      <c r="F15">
        <v>105.420361236898</v>
      </c>
      <c r="G15">
        <v>492.16966311403843</v>
      </c>
      <c r="H15">
        <v>2.7339950512185283</v>
      </c>
      <c r="I15">
        <v>250.96238457562535</v>
      </c>
      <c r="K15">
        <v>1.9709368009758919</v>
      </c>
      <c r="N15" s="1">
        <v>-9.5428271257299233</v>
      </c>
      <c r="O15" s="3">
        <v>0.13818222268139282</v>
      </c>
      <c r="P15" s="3">
        <v>-0.47072366495004597</v>
      </c>
      <c r="Q15" s="3">
        <v>0.20904526340805399</v>
      </c>
      <c r="R15" s="3">
        <v>-0.47072366495004597</v>
      </c>
      <c r="S15" s="3">
        <v>0.37701941979572201</v>
      </c>
      <c r="T15" s="3">
        <v>0.6262137357988109</v>
      </c>
      <c r="U15" s="3">
        <v>-37.669670080221998</v>
      </c>
      <c r="V15" s="3">
        <v>-301.92658033684302</v>
      </c>
      <c r="W15">
        <v>0</v>
      </c>
      <c r="X15">
        <v>0</v>
      </c>
    </row>
    <row r="16" spans="1:25" x14ac:dyDescent="0.2">
      <c r="A16" t="s">
        <v>3</v>
      </c>
      <c r="B16">
        <v>136.57499999999999</v>
      </c>
      <c r="C16">
        <v>136.66499999999999</v>
      </c>
      <c r="D16">
        <v>705.23932895379551</v>
      </c>
      <c r="E16">
        <v>61.828991696401097</v>
      </c>
      <c r="F16">
        <v>99.5</v>
      </c>
      <c r="G16">
        <v>480.79811425196317</v>
      </c>
      <c r="H16">
        <v>16.878480713231369</v>
      </c>
      <c r="I16">
        <v>254.14506482351732</v>
      </c>
      <c r="K16">
        <v>2.4196674150808377</v>
      </c>
      <c r="N16" s="1">
        <v>-8.6476046703176142</v>
      </c>
      <c r="O16" s="3">
        <v>0.17530148431137674</v>
      </c>
      <c r="P16" s="3">
        <v>-0.14099225867514301</v>
      </c>
      <c r="Q16" s="3">
        <v>0.20904526340805399</v>
      </c>
      <c r="R16" s="3">
        <v>-0.14099225867514301</v>
      </c>
      <c r="S16" s="3">
        <v>0.36616330350486398</v>
      </c>
      <c r="T16" s="3">
        <v>0.61973830350688763</v>
      </c>
      <c r="U16" s="3">
        <v>-37.611889446964597</v>
      </c>
      <c r="V16" s="3">
        <v>-300.609297759995</v>
      </c>
      <c r="W16">
        <v>0</v>
      </c>
      <c r="X16">
        <v>0</v>
      </c>
    </row>
    <row r="17" spans="1:24" x14ac:dyDescent="0.2">
      <c r="A17" t="s">
        <v>3</v>
      </c>
      <c r="B17">
        <v>136.91499999999999</v>
      </c>
      <c r="C17">
        <v>137.04499999999999</v>
      </c>
      <c r="D17">
        <v>833.36110460387795</v>
      </c>
      <c r="E17">
        <v>61.828991696401097</v>
      </c>
      <c r="F17">
        <v>110.571976808138</v>
      </c>
      <c r="G17">
        <v>479.8770913522826</v>
      </c>
      <c r="H17">
        <v>8.791317651736307</v>
      </c>
      <c r="I17">
        <v>261.91947495405645</v>
      </c>
      <c r="J17">
        <v>262.17997036785306</v>
      </c>
      <c r="K17">
        <v>1.593150161767056</v>
      </c>
      <c r="M17">
        <v>-7.0672254477776546</v>
      </c>
      <c r="N17" s="1">
        <v>-12.366741526116931</v>
      </c>
      <c r="O17" s="3">
        <v>0.17945656043276348</v>
      </c>
      <c r="P17" s="3">
        <v>-1.22078339917842</v>
      </c>
      <c r="Q17" s="3">
        <v>0.20904526340805399</v>
      </c>
      <c r="R17" s="3">
        <v>-1.22078339917842</v>
      </c>
      <c r="S17" s="3">
        <v>0.41010303151979599</v>
      </c>
      <c r="T17" s="3">
        <v>0.64667186150452438</v>
      </c>
      <c r="U17" s="3">
        <v>-37.6364526911143</v>
      </c>
      <c r="V17" s="3">
        <v>-301.56037448842102</v>
      </c>
      <c r="W17">
        <v>0</v>
      </c>
      <c r="X17">
        <v>0</v>
      </c>
    </row>
    <row r="18" spans="1:24" x14ac:dyDescent="0.2">
      <c r="A18" t="s">
        <v>3</v>
      </c>
      <c r="B18">
        <v>137.51499999999999</v>
      </c>
      <c r="C18">
        <v>137.655</v>
      </c>
      <c r="D18">
        <v>770.30397181415503</v>
      </c>
      <c r="E18">
        <v>61.828991696401097</v>
      </c>
      <c r="F18">
        <v>104.89318158491</v>
      </c>
      <c r="G18">
        <v>490.19632991367973</v>
      </c>
      <c r="H18">
        <v>4.8965239592057506</v>
      </c>
      <c r="I18">
        <v>255.03978013141841</v>
      </c>
      <c r="K18">
        <v>1.9935704988187835</v>
      </c>
      <c r="N18" s="1">
        <v>-10.421107809547262</v>
      </c>
      <c r="O18" s="3">
        <v>0.16128817772898285</v>
      </c>
      <c r="P18" s="3">
        <v>-0.99239435739140203</v>
      </c>
      <c r="Q18" s="3">
        <v>0.20904526340805399</v>
      </c>
      <c r="R18" s="3">
        <v>-0.99239435739140203</v>
      </c>
      <c r="S18" s="3">
        <v>0.41554094211838399</v>
      </c>
      <c r="T18" s="3">
        <v>0.65013404354535542</v>
      </c>
      <c r="U18" s="3">
        <v>-37.7362405413812</v>
      </c>
      <c r="V18" s="3">
        <v>-301.45978589674598</v>
      </c>
      <c r="W18">
        <v>0</v>
      </c>
      <c r="X18">
        <v>0</v>
      </c>
    </row>
    <row r="19" spans="1:24" x14ac:dyDescent="0.2">
      <c r="A19" t="s">
        <v>3</v>
      </c>
      <c r="B19">
        <v>139.08500000000001</v>
      </c>
      <c r="C19">
        <v>139.215</v>
      </c>
      <c r="D19">
        <v>634.25885846937001</v>
      </c>
      <c r="E19">
        <v>61.828991696401097</v>
      </c>
      <c r="F19">
        <v>93.222659470274394</v>
      </c>
      <c r="G19">
        <v>578.13667106930689</v>
      </c>
      <c r="H19">
        <v>20.616891171872556</v>
      </c>
      <c r="I19">
        <v>263.0356539086215</v>
      </c>
      <c r="K19">
        <v>0.34538699759607994</v>
      </c>
      <c r="N19" s="1"/>
      <c r="O19" s="3">
        <v>0.26767982379984068</v>
      </c>
      <c r="P19" s="3">
        <v>-2.0024850217533801</v>
      </c>
      <c r="Q19" s="3">
        <v>0.20904526340805399</v>
      </c>
      <c r="R19" s="3">
        <v>-2.0024850217533801</v>
      </c>
      <c r="S19" s="3">
        <v>0.54192090072925503</v>
      </c>
      <c r="T19" s="3">
        <v>0.73734541610239035</v>
      </c>
      <c r="U19" s="3">
        <v>-36.391023559898798</v>
      </c>
      <c r="V19" s="3">
        <v>-290.222603226795</v>
      </c>
      <c r="W19">
        <v>0</v>
      </c>
      <c r="X19">
        <v>0</v>
      </c>
    </row>
    <row r="20" spans="1:24" x14ac:dyDescent="0.2">
      <c r="A20" t="s">
        <v>3</v>
      </c>
      <c r="B20">
        <v>139.30500000000001</v>
      </c>
      <c r="C20">
        <v>139.39500000000001</v>
      </c>
      <c r="D20">
        <v>648.56634389305702</v>
      </c>
      <c r="E20">
        <v>61.828991696401097</v>
      </c>
      <c r="F20">
        <v>94.406290434517203</v>
      </c>
      <c r="G20">
        <v>597.81009966127226</v>
      </c>
      <c r="H20">
        <v>4.8843108801540893</v>
      </c>
      <c r="I20">
        <v>255.30003711791426</v>
      </c>
      <c r="K20">
        <v>1.5719528748071949</v>
      </c>
      <c r="N20" s="1">
        <v>-3.0843780181878158</v>
      </c>
      <c r="O20" s="3">
        <v>0.19211415450611596</v>
      </c>
      <c r="P20" s="3">
        <v>-0.81599603573689905</v>
      </c>
      <c r="Q20" s="3">
        <v>0.20904526340805399</v>
      </c>
      <c r="R20" s="3">
        <v>-0.81599603573689905</v>
      </c>
      <c r="S20" s="3">
        <v>0.39989297739129598</v>
      </c>
      <c r="T20" s="3">
        <v>0.64024557270384586</v>
      </c>
      <c r="U20" s="3">
        <v>-36.4687429432797</v>
      </c>
      <c r="V20" s="3">
        <v>-290.01663611050901</v>
      </c>
      <c r="W20">
        <v>0</v>
      </c>
      <c r="X20">
        <v>0</v>
      </c>
    </row>
    <row r="21" spans="1:24" x14ac:dyDescent="0.2">
      <c r="A21" t="s">
        <v>3</v>
      </c>
      <c r="B21">
        <v>139.63499999999999</v>
      </c>
      <c r="C21">
        <v>139.72499999999999</v>
      </c>
      <c r="D21">
        <v>668.08910900296996</v>
      </c>
      <c r="E21">
        <v>61.828991696401097</v>
      </c>
      <c r="F21">
        <v>96.039446118618699</v>
      </c>
      <c r="G21">
        <v>598.90446623510547</v>
      </c>
      <c r="H21">
        <v>2.2432629554727437</v>
      </c>
      <c r="I21">
        <v>268.60820732718776</v>
      </c>
      <c r="J21">
        <v>256.16710433988465</v>
      </c>
      <c r="K21">
        <v>1.2349506021950842</v>
      </c>
      <c r="M21">
        <v>-6.8595552491713674</v>
      </c>
      <c r="N21" s="1">
        <v>-4.6295558991731474</v>
      </c>
      <c r="O21" s="3">
        <v>0.3486869574562283</v>
      </c>
      <c r="P21" s="3">
        <v>-0.78124922508005001</v>
      </c>
      <c r="Q21" s="3">
        <v>0.20904526340805399</v>
      </c>
      <c r="R21" s="3">
        <v>-0.78124922508005001</v>
      </c>
      <c r="S21" s="3">
        <v>0.39710757512400802</v>
      </c>
      <c r="T21" s="3">
        <v>0.63850953494906382</v>
      </c>
      <c r="U21" s="3">
        <v>-36.129080452948202</v>
      </c>
      <c r="V21" s="3">
        <v>-288.83448066168398</v>
      </c>
      <c r="W21">
        <v>0</v>
      </c>
      <c r="X21">
        <v>0</v>
      </c>
    </row>
    <row r="22" spans="1:24" x14ac:dyDescent="0.2">
      <c r="A22" t="s">
        <v>3</v>
      </c>
      <c r="B22">
        <v>139.83500000000001</v>
      </c>
      <c r="C22">
        <v>139.89500000000001</v>
      </c>
      <c r="D22">
        <v>714.59672179922097</v>
      </c>
      <c r="E22">
        <v>61.828991696401097</v>
      </c>
      <c r="F22">
        <v>100.008353447842</v>
      </c>
      <c r="G22">
        <v>611.79554441707933</v>
      </c>
      <c r="H22">
        <v>4.8403383171716989E-2</v>
      </c>
      <c r="I22">
        <v>263.21795661520963</v>
      </c>
      <c r="K22">
        <v>1.4142194469924332</v>
      </c>
      <c r="N22" s="1">
        <v>-3.0387083592344108</v>
      </c>
      <c r="O22" s="3">
        <v>0.27522920648962756</v>
      </c>
      <c r="P22" s="3">
        <v>-1.3205721556482899</v>
      </c>
      <c r="Q22" s="3">
        <v>0.20904526340805399</v>
      </c>
      <c r="R22" s="3">
        <v>-1.3205721556482899</v>
      </c>
      <c r="S22" s="3">
        <v>0.45059609949963603</v>
      </c>
      <c r="T22" s="3">
        <v>0.67308011773063525</v>
      </c>
      <c r="U22" s="3">
        <v>-35.786539466935999</v>
      </c>
      <c r="V22" s="3">
        <v>-286.29773217830501</v>
      </c>
      <c r="W22">
        <v>0</v>
      </c>
      <c r="X22">
        <v>0</v>
      </c>
    </row>
    <row r="23" spans="1:24" x14ac:dyDescent="0.2">
      <c r="A23" t="s">
        <v>3</v>
      </c>
      <c r="B23">
        <v>140.07499999999999</v>
      </c>
      <c r="C23">
        <v>140.13499999999999</v>
      </c>
      <c r="D23">
        <v>628.32068759515801</v>
      </c>
      <c r="E23">
        <v>61.828991696401097</v>
      </c>
      <c r="F23">
        <v>92.734812990377407</v>
      </c>
      <c r="G23">
        <v>605.2559334160452</v>
      </c>
      <c r="H23">
        <v>10.730822005496973</v>
      </c>
      <c r="I23">
        <v>259.56685898604246</v>
      </c>
      <c r="K23">
        <v>0.32147955885974966</v>
      </c>
      <c r="N23" s="1">
        <v>-6.0661920083082146</v>
      </c>
      <c r="O23" s="3">
        <v>0.20115394255263866</v>
      </c>
      <c r="P23" s="3">
        <v>-0.493272403930267</v>
      </c>
      <c r="Q23" s="3">
        <v>0.20904526340805399</v>
      </c>
      <c r="R23" s="3">
        <v>-0.493272403930267</v>
      </c>
      <c r="S23" s="3">
        <v>0.37817075340711898</v>
      </c>
      <c r="T23" s="3">
        <v>0.6269075838849838</v>
      </c>
      <c r="U23" s="3">
        <v>-36.6078702345172</v>
      </c>
      <c r="V23" s="3">
        <v>-292.433636270465</v>
      </c>
      <c r="W23">
        <v>0</v>
      </c>
      <c r="X23">
        <v>0</v>
      </c>
    </row>
    <row r="24" spans="1:24" x14ac:dyDescent="0.2">
      <c r="A24" t="s">
        <v>3</v>
      </c>
      <c r="B24">
        <v>140.345</v>
      </c>
      <c r="C24">
        <v>140.435</v>
      </c>
      <c r="D24">
        <v>604.11009325438704</v>
      </c>
      <c r="E24">
        <v>61.828991696401097</v>
      </c>
      <c r="F24">
        <v>90.767324362529905</v>
      </c>
      <c r="G24">
        <v>516.76676495541767</v>
      </c>
      <c r="H24">
        <v>8.6868956816231311</v>
      </c>
      <c r="I24">
        <v>248.50073485972291</v>
      </c>
      <c r="K24">
        <v>4.9000359596987408</v>
      </c>
      <c r="M24">
        <v>-6.3496558160922794</v>
      </c>
      <c r="N24" s="1">
        <v>-11.263458908067845</v>
      </c>
      <c r="O24" s="3">
        <v>0.23201759492466198</v>
      </c>
      <c r="P24" s="3">
        <v>-1.80087997983491</v>
      </c>
      <c r="Q24" s="3">
        <v>0.20904526340805399</v>
      </c>
      <c r="R24" s="3">
        <v>-1.80087997983491</v>
      </c>
      <c r="S24" s="3">
        <v>0.51284223716865396</v>
      </c>
      <c r="T24" s="3">
        <v>0.71624518164114026</v>
      </c>
      <c r="U24" s="3">
        <v>-38.135391942448699</v>
      </c>
      <c r="V24" s="3">
        <v>-304.90662163813403</v>
      </c>
      <c r="W24">
        <v>0</v>
      </c>
      <c r="X24">
        <v>0</v>
      </c>
    </row>
    <row r="25" spans="1:24" x14ac:dyDescent="0.2">
      <c r="A25" t="s">
        <v>3</v>
      </c>
      <c r="B25">
        <v>140.535</v>
      </c>
      <c r="C25">
        <v>140.565</v>
      </c>
      <c r="D25">
        <v>525.43043779184802</v>
      </c>
      <c r="E25">
        <v>61.828991696401097</v>
      </c>
      <c r="F25">
        <v>84.636621318357498</v>
      </c>
      <c r="G25">
        <v>515.91021918903402</v>
      </c>
      <c r="H25">
        <v>0.92827344001051415</v>
      </c>
      <c r="I25">
        <v>244.96092368237288</v>
      </c>
      <c r="K25">
        <v>1.4906083777622425</v>
      </c>
      <c r="N25" s="1">
        <v>-11.605313465806704</v>
      </c>
      <c r="O25" s="3">
        <v>0.25912571550137542</v>
      </c>
      <c r="P25" s="3">
        <v>-1.01219344898751</v>
      </c>
      <c r="Q25" s="3">
        <v>0.20904526340805399</v>
      </c>
      <c r="R25" s="3">
        <v>-1.01219344898751</v>
      </c>
      <c r="S25" s="3">
        <v>0.41744680533005801</v>
      </c>
      <c r="T25" s="3">
        <v>0.65135384798147267</v>
      </c>
      <c r="U25" s="3">
        <v>-37.226746805883899</v>
      </c>
      <c r="V25" s="3">
        <v>-297.01472813130903</v>
      </c>
      <c r="W25">
        <v>0</v>
      </c>
      <c r="X25">
        <v>0</v>
      </c>
    </row>
    <row r="26" spans="1:24" x14ac:dyDescent="0.2">
      <c r="A26" t="s">
        <v>3</v>
      </c>
      <c r="B26">
        <v>140.58500000000001</v>
      </c>
      <c r="C26">
        <v>140.655</v>
      </c>
      <c r="D26">
        <v>676.03106562393805</v>
      </c>
      <c r="E26">
        <v>61.828991696401097</v>
      </c>
      <c r="F26">
        <v>96.709575713194795</v>
      </c>
      <c r="G26">
        <v>524.72785379156915</v>
      </c>
      <c r="H26">
        <v>9.4201552176364185</v>
      </c>
      <c r="I26">
        <v>245.83471852914437</v>
      </c>
      <c r="K26">
        <v>1.4098440277817446</v>
      </c>
      <c r="N26" s="1">
        <v>-12.026182328614571</v>
      </c>
      <c r="O26" s="3">
        <v>0.25230322773375602</v>
      </c>
      <c r="P26" s="3"/>
      <c r="Q26" s="3"/>
      <c r="R26" s="3"/>
      <c r="S26" s="3"/>
      <c r="T26" s="3"/>
      <c r="U26" s="3">
        <v>-38.156500910774398</v>
      </c>
      <c r="V26" s="3">
        <v>-303.67752484652698</v>
      </c>
      <c r="W26">
        <v>0</v>
      </c>
      <c r="X26">
        <v>0</v>
      </c>
    </row>
    <row r="27" spans="1:24" x14ac:dyDescent="0.2">
      <c r="A27" t="s">
        <v>3</v>
      </c>
      <c r="B27">
        <v>140.82499999999999</v>
      </c>
      <c r="C27">
        <v>140.86500000000001</v>
      </c>
      <c r="D27">
        <v>608.18571263172703</v>
      </c>
      <c r="E27">
        <v>61.828991696401097</v>
      </c>
      <c r="F27">
        <v>91.096056626458406</v>
      </c>
      <c r="G27">
        <v>549.26391285099089</v>
      </c>
      <c r="H27">
        <v>2.3818939208511551</v>
      </c>
      <c r="I27">
        <v>241.94467701945382</v>
      </c>
      <c r="J27">
        <v>240.09430971759039</v>
      </c>
      <c r="K27">
        <v>0.56587834350749233</v>
      </c>
      <c r="M27">
        <v>-6.8278503325981585</v>
      </c>
      <c r="N27" s="1">
        <v>-13.078279510863965</v>
      </c>
      <c r="O27" s="3">
        <v>0.28070427835827849</v>
      </c>
      <c r="P27" s="4">
        <v>-1.95865706981035</v>
      </c>
      <c r="Q27" s="4">
        <v>0.20904526340805399</v>
      </c>
      <c r="R27" s="4">
        <v>-1.95865706981035</v>
      </c>
      <c r="S27" s="4">
        <v>0.53547540824772299</v>
      </c>
      <c r="T27" s="4">
        <v>0.73262126152471552</v>
      </c>
      <c r="U27" s="4">
        <v>-38.485608916943001</v>
      </c>
      <c r="V27" s="4">
        <v>-307.09466300370701</v>
      </c>
      <c r="W27">
        <v>0</v>
      </c>
      <c r="X27">
        <v>0</v>
      </c>
    </row>
    <row r="28" spans="1:24" x14ac:dyDescent="0.2">
      <c r="A28" t="s">
        <v>3</v>
      </c>
      <c r="B28">
        <v>140.95500000000001</v>
      </c>
      <c r="C28">
        <v>141.05500000000001</v>
      </c>
      <c r="D28">
        <v>544.57443427082296</v>
      </c>
      <c r="E28">
        <v>61.828991696401097</v>
      </c>
      <c r="F28">
        <v>86.088420354751605</v>
      </c>
      <c r="G28">
        <v>527.70799177076128</v>
      </c>
      <c r="H28">
        <v>4.5789503705699408</v>
      </c>
      <c r="I28">
        <v>251.40403802881866</v>
      </c>
      <c r="K28">
        <v>1.142900995884375</v>
      </c>
      <c r="N28" s="1">
        <v>-6.87148792028876</v>
      </c>
      <c r="O28" s="3">
        <v>0.27982665839732895</v>
      </c>
      <c r="P28" s="4">
        <v>-1.85836926835126</v>
      </c>
      <c r="Q28" s="4">
        <v>0.20904526340805399</v>
      </c>
      <c r="R28" s="4">
        <v>-1.85836926835126</v>
      </c>
      <c r="S28" s="4">
        <v>0.52098163658178798</v>
      </c>
      <c r="T28" s="4">
        <v>0.72209546851883655</v>
      </c>
      <c r="U28" s="4">
        <v>-38.325372657379901</v>
      </c>
      <c r="V28" s="4">
        <v>-305.76880956677502</v>
      </c>
      <c r="W28">
        <v>0</v>
      </c>
      <c r="X28">
        <v>0</v>
      </c>
    </row>
    <row r="29" spans="1:24" x14ac:dyDescent="0.2">
      <c r="A29" t="s">
        <v>3</v>
      </c>
      <c r="B29">
        <v>141.36500000000001</v>
      </c>
      <c r="C29">
        <v>141.44499999999999</v>
      </c>
      <c r="D29">
        <v>662.47038379901005</v>
      </c>
      <c r="E29">
        <v>61.828991696401097</v>
      </c>
      <c r="F29">
        <v>95.567332431455995</v>
      </c>
      <c r="G29">
        <v>572.42187978661241</v>
      </c>
      <c r="H29">
        <v>13.913917611381462</v>
      </c>
      <c r="I29">
        <v>247.7084849465376</v>
      </c>
      <c r="K29">
        <v>3.3978071715002893</v>
      </c>
      <c r="N29" s="1">
        <v>-7.9248348143057878</v>
      </c>
      <c r="O29" s="3">
        <v>0.25384312132804426</v>
      </c>
      <c r="P29" s="4">
        <v>-1.52544853780912</v>
      </c>
      <c r="Q29" s="4">
        <v>0.20904526340805399</v>
      </c>
      <c r="R29" s="4">
        <v>-1.52544853780912</v>
      </c>
      <c r="S29" s="4">
        <v>0.47577320417768498</v>
      </c>
      <c r="T29" s="4">
        <v>0.69018848281719469</v>
      </c>
      <c r="U29" s="4">
        <v>-37.146755349242198</v>
      </c>
      <c r="V29" s="4">
        <v>-297.02223597380998</v>
      </c>
      <c r="W29">
        <v>0</v>
      </c>
      <c r="X29">
        <v>0</v>
      </c>
    </row>
    <row r="30" spans="1:24" x14ac:dyDescent="0.2">
      <c r="A30" t="s">
        <v>3</v>
      </c>
      <c r="B30">
        <v>141.625</v>
      </c>
      <c r="C30">
        <v>141.72499999999999</v>
      </c>
      <c r="D30">
        <v>875.93315559943801</v>
      </c>
      <c r="E30">
        <v>61.828991696401097</v>
      </c>
      <c r="F30">
        <v>114.484308184319</v>
      </c>
      <c r="G30">
        <v>497.35887317283402</v>
      </c>
      <c r="H30">
        <v>0.69063935793420228</v>
      </c>
      <c r="I30">
        <v>290.49069714200039</v>
      </c>
      <c r="J30">
        <v>283.15252303855618</v>
      </c>
      <c r="K30">
        <v>0.96364883653919264</v>
      </c>
      <c r="L30" s="9">
        <v>252.40693096484409</v>
      </c>
      <c r="M30">
        <v>-9.0157596209752793</v>
      </c>
      <c r="N30" s="1">
        <v>-9.9386119568618234</v>
      </c>
      <c r="O30" s="3">
        <v>0.1955340426112866</v>
      </c>
      <c r="P30" s="4">
        <v>-1.27887474240662</v>
      </c>
      <c r="Q30" s="4">
        <v>0.20904526340805399</v>
      </c>
      <c r="R30" s="4">
        <v>-1.27887474240662</v>
      </c>
      <c r="S30" s="4">
        <v>0.41712448552436598</v>
      </c>
      <c r="T30" s="4">
        <v>0.65114732313353407</v>
      </c>
      <c r="U30" s="4">
        <v>-37.623445573616102</v>
      </c>
      <c r="V30" s="4">
        <v>-300.14221734446801</v>
      </c>
      <c r="W30">
        <v>1</v>
      </c>
      <c r="X30">
        <v>0</v>
      </c>
    </row>
    <row r="31" spans="1:24" x14ac:dyDescent="0.2">
      <c r="A31" t="s">
        <v>3</v>
      </c>
      <c r="B31">
        <v>141.86500000000001</v>
      </c>
      <c r="C31">
        <v>142.04499999999999</v>
      </c>
      <c r="D31">
        <v>1143.4573761888601</v>
      </c>
      <c r="E31">
        <v>61.828991696401097</v>
      </c>
      <c r="F31">
        <v>140.155310085769</v>
      </c>
      <c r="G31">
        <v>477.09934049919286</v>
      </c>
      <c r="H31">
        <v>30.67508188876084</v>
      </c>
      <c r="I31">
        <v>228.13036648966769</v>
      </c>
      <c r="K31">
        <v>1.2</v>
      </c>
      <c r="N31" s="1">
        <v>-11.416459282703386</v>
      </c>
      <c r="O31" s="3">
        <v>0.13759632758648321</v>
      </c>
      <c r="P31" s="4">
        <v>-1.2169691746844999</v>
      </c>
      <c r="Q31" s="4">
        <v>0.20904526340805399</v>
      </c>
      <c r="R31" s="4">
        <v>-1.2169691746844999</v>
      </c>
      <c r="S31" s="4">
        <v>0.40964932691099798</v>
      </c>
      <c r="T31" s="4">
        <v>0.64638422864317602</v>
      </c>
      <c r="U31" s="4">
        <v>-37.201646950836697</v>
      </c>
      <c r="V31" s="4">
        <v>-296.22993634334</v>
      </c>
      <c r="W31">
        <v>0</v>
      </c>
      <c r="X31">
        <v>1</v>
      </c>
    </row>
    <row r="32" spans="1:24" x14ac:dyDescent="0.2">
      <c r="A32" t="s">
        <v>3</v>
      </c>
      <c r="B32">
        <v>142.22499999999999</v>
      </c>
      <c r="C32">
        <v>142.315</v>
      </c>
      <c r="D32">
        <v>817.58219292998695</v>
      </c>
      <c r="E32">
        <v>61.828991696401097</v>
      </c>
      <c r="F32">
        <v>109.137326267266</v>
      </c>
      <c r="G32">
        <v>465.03548727872737</v>
      </c>
      <c r="H32">
        <v>1.9395753966206539</v>
      </c>
      <c r="I32">
        <v>224.07845257626175</v>
      </c>
      <c r="K32">
        <v>0.78729786770841759</v>
      </c>
      <c r="N32" s="1">
        <v>-9.4538693867250743</v>
      </c>
      <c r="O32" s="3">
        <v>0.1612772704186041</v>
      </c>
      <c r="P32" s="4">
        <v>-1.6109867494216199</v>
      </c>
      <c r="Q32" s="4">
        <v>0.20904526340805399</v>
      </c>
      <c r="R32" s="4">
        <v>-1.6109867494216199</v>
      </c>
      <c r="S32" s="4">
        <v>0.46085045776892097</v>
      </c>
      <c r="T32" s="4">
        <v>0.67998760608251085</v>
      </c>
      <c r="U32" s="4">
        <v>-37.502106243775401</v>
      </c>
      <c r="V32" s="4">
        <v>-298.85292099086502</v>
      </c>
      <c r="W32">
        <v>0</v>
      </c>
      <c r="X32">
        <v>1</v>
      </c>
    </row>
    <row r="33" spans="1:24" x14ac:dyDescent="0.2">
      <c r="A33" t="s">
        <v>3</v>
      </c>
      <c r="B33">
        <v>142.47499999999999</v>
      </c>
      <c r="C33">
        <v>142.565</v>
      </c>
      <c r="D33">
        <v>833.10075286539404</v>
      </c>
      <c r="E33">
        <v>61.828991696401097</v>
      </c>
      <c r="F33">
        <v>110.548235054816</v>
      </c>
      <c r="G33">
        <v>491.21401009806846</v>
      </c>
      <c r="H33">
        <v>4.7797342531967502</v>
      </c>
      <c r="I33">
        <v>227.8595504585679</v>
      </c>
      <c r="K33">
        <v>1.2</v>
      </c>
      <c r="N33" s="1">
        <v>-23.852299469146047</v>
      </c>
      <c r="O33" s="3">
        <v>0.15014796012589648</v>
      </c>
      <c r="P33" s="4">
        <v>-1.3921093940526501</v>
      </c>
      <c r="Q33" s="4">
        <v>0.20904526340805399</v>
      </c>
      <c r="R33" s="4">
        <v>-1.3921093940526501</v>
      </c>
      <c r="S33" s="4">
        <v>0.43138237649877198</v>
      </c>
      <c r="T33" s="4">
        <v>0.66037167924868512</v>
      </c>
      <c r="U33" s="4">
        <v>-37.514625380981201</v>
      </c>
      <c r="V33" s="4">
        <v>-298.76799727895099</v>
      </c>
      <c r="W33">
        <v>0</v>
      </c>
      <c r="X33">
        <v>1</v>
      </c>
    </row>
    <row r="34" spans="1:24" x14ac:dyDescent="0.2">
      <c r="A34" t="s">
        <v>3</v>
      </c>
      <c r="B34">
        <v>143.02500000000001</v>
      </c>
      <c r="C34">
        <v>143.08500000000001</v>
      </c>
      <c r="D34">
        <v>773.25148299541104</v>
      </c>
      <c r="E34">
        <v>61.828991696401097</v>
      </c>
      <c r="F34">
        <v>105.15526744412</v>
      </c>
      <c r="G34">
        <v>491.93172056462492</v>
      </c>
      <c r="H34">
        <v>2.7</v>
      </c>
      <c r="I34">
        <v>228.96073718468591</v>
      </c>
      <c r="K34">
        <v>1.7599358481717784</v>
      </c>
      <c r="N34" s="1"/>
      <c r="O34" s="3">
        <v>0.14336228640491511</v>
      </c>
      <c r="P34" s="4">
        <v>-0.95350940863281297</v>
      </c>
      <c r="Q34" s="4">
        <v>0.20904526340805399</v>
      </c>
      <c r="R34" s="4">
        <v>-0.95350940863281297</v>
      </c>
      <c r="S34" s="4">
        <v>0.411883017187398</v>
      </c>
      <c r="T34" s="4">
        <v>0.64780214560264804</v>
      </c>
      <c r="U34" s="4">
        <v>-37.092481055075297</v>
      </c>
      <c r="V34" s="4">
        <v>-294.07004517364601</v>
      </c>
      <c r="W34">
        <v>0</v>
      </c>
      <c r="X34">
        <v>1</v>
      </c>
    </row>
    <row r="35" spans="1:24" x14ac:dyDescent="0.2">
      <c r="A35" t="s">
        <v>3</v>
      </c>
      <c r="B35">
        <v>143.61500000000001</v>
      </c>
      <c r="C35">
        <v>143.745</v>
      </c>
      <c r="D35">
        <v>2299.2041718109899</v>
      </c>
      <c r="E35">
        <v>61.828991696401097</v>
      </c>
      <c r="F35">
        <v>260.36039652880697</v>
      </c>
      <c r="G35">
        <v>511.37518999161034</v>
      </c>
      <c r="H35">
        <v>2.7</v>
      </c>
      <c r="I35">
        <v>223.3065391083276</v>
      </c>
      <c r="K35">
        <v>1.2</v>
      </c>
      <c r="N35" s="2"/>
      <c r="O35" s="3"/>
      <c r="P35" s="4">
        <v>-0.78434109482761205</v>
      </c>
      <c r="Q35" s="4">
        <v>0.20904526340805399</v>
      </c>
      <c r="R35" s="4">
        <v>-0.78434109482761205</v>
      </c>
      <c r="S35" s="4">
        <v>0.312876269913136</v>
      </c>
      <c r="T35" s="4">
        <v>0.58982332971387075</v>
      </c>
      <c r="U35" s="4">
        <v>-35.839729885712103</v>
      </c>
      <c r="V35" s="4">
        <v>-282.10042570214301</v>
      </c>
      <c r="W35">
        <v>0</v>
      </c>
      <c r="X35">
        <v>1</v>
      </c>
    </row>
    <row r="36" spans="1:24" x14ac:dyDescent="0.2">
      <c r="A36" t="s">
        <v>3</v>
      </c>
      <c r="B36">
        <v>143.745</v>
      </c>
      <c r="C36">
        <v>143.79499999999999</v>
      </c>
      <c r="D36">
        <v>941.42809465745995</v>
      </c>
      <c r="E36">
        <v>61.828991696401097</v>
      </c>
      <c r="F36">
        <v>120.610510275262</v>
      </c>
      <c r="G36">
        <v>496.72473704971469</v>
      </c>
      <c r="H36">
        <v>2.7</v>
      </c>
      <c r="I36">
        <v>217.12488883326262</v>
      </c>
      <c r="K36">
        <v>5.7919548954507292</v>
      </c>
      <c r="N36" s="1"/>
      <c r="O36" s="3">
        <v>9.6541373653748402E-2</v>
      </c>
      <c r="P36" s="3">
        <v>-1.4232857956865099</v>
      </c>
      <c r="Q36" s="3">
        <v>0.20904526340805399</v>
      </c>
      <c r="R36" s="3">
        <v>-1.4232857956865099</v>
      </c>
      <c r="S36" s="3">
        <v>0.43543278517064199</v>
      </c>
      <c r="T36" s="3">
        <v>0.66302466801881699</v>
      </c>
      <c r="U36" s="3">
        <v>-37.627712204834197</v>
      </c>
      <c r="V36" s="3">
        <v>-300.82686914595803</v>
      </c>
      <c r="W36">
        <v>0</v>
      </c>
      <c r="X36">
        <v>1</v>
      </c>
    </row>
    <row r="37" spans="1:24" x14ac:dyDescent="0.2">
      <c r="A37" t="s">
        <v>3</v>
      </c>
      <c r="B37">
        <v>143.79499999999999</v>
      </c>
      <c r="C37">
        <v>143.875</v>
      </c>
      <c r="D37">
        <v>1277.06968710612</v>
      </c>
      <c r="E37">
        <v>59.3430600733112</v>
      </c>
      <c r="F37">
        <v>152.49778131547001</v>
      </c>
      <c r="G37">
        <v>503.6707987242774</v>
      </c>
      <c r="H37">
        <v>2.7</v>
      </c>
      <c r="I37">
        <v>219.04434322951747</v>
      </c>
      <c r="K37">
        <v>1.2</v>
      </c>
      <c r="N37" s="2"/>
      <c r="O37" s="3"/>
      <c r="P37" s="3">
        <v>-1.39998439305089</v>
      </c>
      <c r="Q37" s="3">
        <v>0.17142731656810201</v>
      </c>
      <c r="R37" s="3">
        <v>-1.39998439305089</v>
      </c>
      <c r="S37" s="3">
        <v>0.37063402015624902</v>
      </c>
      <c r="T37" s="3">
        <v>0.62239021272605399</v>
      </c>
      <c r="U37" s="3">
        <v>-37.120327757001199</v>
      </c>
      <c r="V37" s="3">
        <v>-294.976573017362</v>
      </c>
      <c r="W37">
        <v>0</v>
      </c>
      <c r="X37">
        <v>1</v>
      </c>
    </row>
    <row r="38" spans="1:24" x14ac:dyDescent="0.2">
      <c r="A38" t="s">
        <v>3</v>
      </c>
      <c r="B38">
        <v>144.285</v>
      </c>
      <c r="C38">
        <v>144.41499999999999</v>
      </c>
      <c r="D38">
        <v>1043.48514437104</v>
      </c>
      <c r="E38">
        <v>61.828991696401097</v>
      </c>
      <c r="F38">
        <v>130.37655194521199</v>
      </c>
      <c r="G38">
        <v>525.07277984125994</v>
      </c>
      <c r="H38">
        <v>20.822495710955163</v>
      </c>
      <c r="I38">
        <v>237.83968135086042</v>
      </c>
      <c r="K38">
        <v>1.4469214285616798</v>
      </c>
      <c r="N38" s="1">
        <v>-13.180092120635987</v>
      </c>
      <c r="O38" s="3">
        <v>0.10233710397625262</v>
      </c>
      <c r="P38" s="3">
        <v>-1.30800198054148</v>
      </c>
      <c r="Q38" s="3">
        <v>0.20904526340805399</v>
      </c>
      <c r="R38" s="3">
        <v>-1.30800198054148</v>
      </c>
      <c r="S38" s="3">
        <v>0.42072173630246401</v>
      </c>
      <c r="T38" s="3">
        <v>0.65345755745676404</v>
      </c>
      <c r="U38" s="3">
        <v>-37.449140663289398</v>
      </c>
      <c r="V38" s="3">
        <v>-297.90524956927999</v>
      </c>
      <c r="W38">
        <v>0</v>
      </c>
      <c r="X38">
        <v>1</v>
      </c>
    </row>
    <row r="39" spans="1:24" x14ac:dyDescent="0.2">
      <c r="A39" t="s">
        <v>3</v>
      </c>
      <c r="B39">
        <v>144.41499999999999</v>
      </c>
      <c r="C39">
        <v>144.54499999999999</v>
      </c>
      <c r="D39">
        <v>1429.4909633227901</v>
      </c>
      <c r="E39">
        <v>61.828991696401097</v>
      </c>
      <c r="F39">
        <v>168.96301851669801</v>
      </c>
      <c r="G39">
        <v>488.08720679173348</v>
      </c>
      <c r="H39">
        <v>2.3430127245643173</v>
      </c>
      <c r="I39">
        <v>228.4242244414732</v>
      </c>
      <c r="K39">
        <v>2.1033015214755437</v>
      </c>
      <c r="N39" s="1">
        <v>-15.768898778873648</v>
      </c>
      <c r="O39" s="3">
        <v>9.8891565081414404E-2</v>
      </c>
      <c r="P39" s="3">
        <v>-1.4267964309052601</v>
      </c>
      <c r="Q39" s="3">
        <v>0.20904526340805399</v>
      </c>
      <c r="R39" s="3">
        <v>-1.4267964309052601</v>
      </c>
      <c r="S39" s="3">
        <v>0.393336807790858</v>
      </c>
      <c r="T39" s="3">
        <v>0.63617123823944</v>
      </c>
      <c r="U39" s="3">
        <v>-37.314319185688703</v>
      </c>
      <c r="V39" s="3">
        <v>-297.18243297583001</v>
      </c>
      <c r="W39">
        <v>0</v>
      </c>
      <c r="X39">
        <v>1</v>
      </c>
    </row>
    <row r="40" spans="1:24" x14ac:dyDescent="0.2">
      <c r="A40" t="s">
        <v>3</v>
      </c>
      <c r="B40">
        <v>144.54499999999999</v>
      </c>
      <c r="C40">
        <v>144.69499999999999</v>
      </c>
      <c r="D40">
        <v>2255.4</v>
      </c>
      <c r="E40">
        <v>63</v>
      </c>
      <c r="F40" s="10">
        <v>248.09450713129499</v>
      </c>
      <c r="G40">
        <v>499.56273842510825</v>
      </c>
      <c r="H40">
        <v>2.7628136974955169</v>
      </c>
      <c r="I40">
        <v>233.56423134661145</v>
      </c>
      <c r="K40">
        <v>1.2</v>
      </c>
      <c r="N40" s="2"/>
      <c r="O40" s="3"/>
      <c r="P40" s="3"/>
      <c r="Q40" s="3"/>
      <c r="R40" s="3"/>
      <c r="S40" s="3"/>
      <c r="T40" s="3"/>
      <c r="U40" s="3"/>
      <c r="V40" s="3"/>
      <c r="W40">
        <v>0</v>
      </c>
      <c r="X40">
        <v>1</v>
      </c>
    </row>
    <row r="41" spans="1:24" x14ac:dyDescent="0.2">
      <c r="A41" t="s">
        <v>3</v>
      </c>
      <c r="B41">
        <v>144.84500000000003</v>
      </c>
      <c r="C41">
        <v>144.905</v>
      </c>
      <c r="D41">
        <v>1623.70991459622</v>
      </c>
      <c r="E41">
        <v>61.828991696401097</v>
      </c>
      <c r="F41">
        <v>189.00707458708101</v>
      </c>
      <c r="G41">
        <v>506.56333004036782</v>
      </c>
      <c r="H41">
        <v>1.7157747250273017</v>
      </c>
      <c r="I41">
        <v>228.80675513155185</v>
      </c>
      <c r="J41">
        <v>228.4</v>
      </c>
      <c r="K41">
        <v>0.96074825339738357</v>
      </c>
      <c r="M41">
        <v>-6.1483278866338527</v>
      </c>
      <c r="N41" s="1">
        <v>-11.42675070327893</v>
      </c>
      <c r="O41" s="3">
        <v>1.0752142071632595E-2</v>
      </c>
      <c r="P41" s="3">
        <v>-0.86493138657195401</v>
      </c>
      <c r="Q41" s="3">
        <v>0.20904526340805399</v>
      </c>
      <c r="R41" s="3">
        <v>-0.86493138657195401</v>
      </c>
      <c r="S41" s="3">
        <v>0.321260290562705</v>
      </c>
      <c r="T41" s="3">
        <v>0.59431319545542116</v>
      </c>
      <c r="U41" s="3">
        <v>-36.609789231637698</v>
      </c>
      <c r="V41" s="3">
        <v>-289.57404630714001</v>
      </c>
      <c r="W41">
        <v>0</v>
      </c>
      <c r="X41">
        <v>1</v>
      </c>
    </row>
    <row r="42" spans="1:24" x14ac:dyDescent="0.2">
      <c r="A42" t="s">
        <v>3</v>
      </c>
      <c r="B42">
        <v>145.065</v>
      </c>
      <c r="C42">
        <v>145.125</v>
      </c>
      <c r="D42">
        <v>1811.2</v>
      </c>
      <c r="E42">
        <v>63</v>
      </c>
      <c r="F42">
        <f>D42*0.11</f>
        <v>199.232</v>
      </c>
      <c r="G42">
        <v>501.67374443572237</v>
      </c>
      <c r="H42">
        <v>1.5146828437144677</v>
      </c>
      <c r="K42">
        <v>1.2</v>
      </c>
      <c r="N42" s="2"/>
      <c r="O42" s="3"/>
      <c r="P42" s="3"/>
      <c r="Q42" s="3"/>
      <c r="R42" s="3"/>
      <c r="S42" s="3"/>
      <c r="T42" s="3"/>
      <c r="U42" s="3"/>
      <c r="V42" s="3"/>
      <c r="W42">
        <v>0</v>
      </c>
      <c r="X42">
        <v>1</v>
      </c>
    </row>
    <row r="43" spans="1:24" x14ac:dyDescent="0.2">
      <c r="A43" t="s">
        <v>3</v>
      </c>
      <c r="B43">
        <v>145.125</v>
      </c>
      <c r="C43">
        <v>145.255</v>
      </c>
      <c r="D43">
        <v>1647.2212021544799</v>
      </c>
      <c r="E43">
        <v>61.828991696401097</v>
      </c>
      <c r="F43">
        <v>191.452893028555</v>
      </c>
      <c r="G43">
        <v>496.27699634647252</v>
      </c>
      <c r="H43">
        <v>0.39268572336864505</v>
      </c>
      <c r="I43">
        <v>230.02926473404966</v>
      </c>
      <c r="J43">
        <v>227.53971219191149</v>
      </c>
      <c r="K43">
        <v>0.99675720117652122</v>
      </c>
      <c r="M43">
        <v>-6.3631732169318065</v>
      </c>
      <c r="N43" s="1">
        <v>-11.353484120992471</v>
      </c>
      <c r="O43" s="3">
        <v>3.0834559516090973E-2</v>
      </c>
      <c r="P43" s="3">
        <v>-1.3259296498366899</v>
      </c>
      <c r="Q43" s="3">
        <v>0.20904526340805399</v>
      </c>
      <c r="R43" s="3">
        <v>-1.3259296498366899</v>
      </c>
      <c r="S43" s="3">
        <v>0.37895580165236198</v>
      </c>
      <c r="T43" s="3">
        <v>0.62738146259352001</v>
      </c>
      <c r="U43" s="3">
        <v>-37.162460402346603</v>
      </c>
      <c r="V43" s="3">
        <v>-294.78166139613</v>
      </c>
      <c r="W43">
        <v>0</v>
      </c>
      <c r="X43">
        <v>1</v>
      </c>
    </row>
    <row r="44" spans="1:24" x14ac:dyDescent="0.2">
      <c r="A44" t="s">
        <v>3</v>
      </c>
      <c r="B44">
        <v>145.255</v>
      </c>
      <c r="C44">
        <v>145.36500000000001</v>
      </c>
      <c r="D44">
        <v>1232</v>
      </c>
      <c r="E44">
        <v>63</v>
      </c>
      <c r="F44">
        <f>D44*0.11</f>
        <v>135.52000000000001</v>
      </c>
      <c r="G44">
        <v>492.89676917694743</v>
      </c>
      <c r="H44">
        <v>2.9304403908535614</v>
      </c>
      <c r="I44">
        <v>219.17159447282773</v>
      </c>
      <c r="K44">
        <v>1.2</v>
      </c>
      <c r="N44" s="2"/>
      <c r="O44" s="3"/>
      <c r="P44" s="3"/>
      <c r="Q44" s="3"/>
      <c r="R44" s="3"/>
      <c r="S44" s="3"/>
      <c r="T44" s="3"/>
      <c r="U44" s="3"/>
      <c r="V44" s="3"/>
      <c r="W44">
        <v>0</v>
      </c>
      <c r="X44">
        <v>1</v>
      </c>
    </row>
    <row r="45" spans="1:24" x14ac:dyDescent="0.2">
      <c r="A45" t="s">
        <v>3</v>
      </c>
      <c r="B45">
        <v>145.36500000000001</v>
      </c>
      <c r="C45">
        <v>145.465</v>
      </c>
      <c r="D45">
        <v>1309.56115097065</v>
      </c>
      <c r="E45">
        <v>61.828991696401097</v>
      </c>
      <c r="F45">
        <v>156.76008469181701</v>
      </c>
      <c r="G45">
        <v>500.53904545320404</v>
      </c>
      <c r="H45">
        <v>4.0511850709603152</v>
      </c>
      <c r="I45">
        <v>226.12334770826891</v>
      </c>
      <c r="K45">
        <v>4.0341187325878991E-2</v>
      </c>
      <c r="N45" s="1">
        <v>-11.434514522953799</v>
      </c>
      <c r="O45" s="3">
        <v>6.165335289945735E-2</v>
      </c>
      <c r="P45" s="4">
        <v>-1.63783749997037</v>
      </c>
      <c r="Q45" s="4">
        <v>0.20904526340805399</v>
      </c>
      <c r="R45" s="4">
        <v>-1.63783749997037</v>
      </c>
      <c r="S45" s="4">
        <v>0.424952219909145</v>
      </c>
      <c r="T45" s="4">
        <v>0.65618929372987356</v>
      </c>
      <c r="U45" s="4">
        <v>-37.528988852365302</v>
      </c>
      <c r="V45" s="4">
        <v>-297.941101161304</v>
      </c>
      <c r="W45">
        <v>0</v>
      </c>
      <c r="X45">
        <v>1</v>
      </c>
    </row>
    <row r="46" spans="1:24" x14ac:dyDescent="0.2">
      <c r="A46" t="s">
        <v>3</v>
      </c>
      <c r="B46">
        <v>146.10499999999999</v>
      </c>
      <c r="C46">
        <v>146.22499999999999</v>
      </c>
      <c r="D46">
        <v>680.43736545063098</v>
      </c>
      <c r="E46">
        <v>61.828991696401097</v>
      </c>
      <c r="F46">
        <v>97.082767856301501</v>
      </c>
      <c r="G46">
        <v>494.58823387292585</v>
      </c>
      <c r="H46">
        <v>2.4460930627807893</v>
      </c>
      <c r="I46">
        <v>217.40206290524551</v>
      </c>
      <c r="K46">
        <v>0.52223224468468743</v>
      </c>
      <c r="N46" s="1">
        <v>-8.2739602140395423</v>
      </c>
      <c r="O46" s="3">
        <v>0.20811835746166996</v>
      </c>
      <c r="P46" s="4">
        <v>-2.0389950801426</v>
      </c>
      <c r="Q46" s="4">
        <v>0.20904526340805399</v>
      </c>
      <c r="R46" s="4">
        <v>-2.0389950801426</v>
      </c>
      <c r="S46" s="4">
        <v>0.54733942816790804</v>
      </c>
      <c r="T46" s="4">
        <v>0.7413369339424366</v>
      </c>
      <c r="U46" s="4">
        <v>-38.142108432370499</v>
      </c>
      <c r="V46" s="4">
        <v>-304.218787268396</v>
      </c>
      <c r="W46">
        <v>0</v>
      </c>
      <c r="X46">
        <v>1</v>
      </c>
    </row>
    <row r="47" spans="1:24" x14ac:dyDescent="0.2">
      <c r="A47" t="s">
        <v>3</v>
      </c>
      <c r="B47">
        <v>147.20500000000001</v>
      </c>
      <c r="C47">
        <v>147.27500000000001</v>
      </c>
      <c r="D47">
        <v>551.80002248780102</v>
      </c>
      <c r="E47">
        <v>61.828991696401097</v>
      </c>
      <c r="F47">
        <v>86.643359344417405</v>
      </c>
      <c r="G47">
        <v>482.22751785458661</v>
      </c>
      <c r="H47">
        <v>4.5950766257302336</v>
      </c>
      <c r="I47">
        <v>222.30117999198995</v>
      </c>
      <c r="K47">
        <v>0.71980342926052288</v>
      </c>
      <c r="N47" s="1">
        <v>-10.783230474298215</v>
      </c>
      <c r="O47" s="3">
        <v>0.25517361459743326</v>
      </c>
      <c r="P47" s="4">
        <v>-1.89227346629894</v>
      </c>
      <c r="Q47" s="4">
        <v>0.20904526340805399</v>
      </c>
      <c r="R47" s="4">
        <v>-1.89227346629894</v>
      </c>
      <c r="S47" s="4">
        <v>0.52584062890167005</v>
      </c>
      <c r="T47" s="4">
        <v>0.72560896287442855</v>
      </c>
      <c r="U47" s="4">
        <v>-38.392537556598</v>
      </c>
      <c r="V47" s="4">
        <v>-306.53040890374098</v>
      </c>
      <c r="W47">
        <v>0</v>
      </c>
      <c r="X47">
        <v>1</v>
      </c>
    </row>
    <row r="48" spans="1:24" x14ac:dyDescent="0.2">
      <c r="A48" t="s">
        <v>3</v>
      </c>
      <c r="B48">
        <v>147.505</v>
      </c>
      <c r="C48">
        <v>147.66499999999999</v>
      </c>
      <c r="D48">
        <v>578.96466442265296</v>
      </c>
      <c r="E48">
        <v>61.828991696401097</v>
      </c>
      <c r="F48">
        <v>88.7622961299395</v>
      </c>
      <c r="G48">
        <v>507.6917864765457</v>
      </c>
      <c r="H48">
        <v>1.1221175249084467</v>
      </c>
      <c r="I48">
        <v>232.90402232497965</v>
      </c>
      <c r="K48">
        <v>2.7236868097490112</v>
      </c>
      <c r="N48" s="1">
        <v>-6.7225470535512155</v>
      </c>
      <c r="O48" s="3">
        <v>0.22557326383422016</v>
      </c>
      <c r="P48" s="4">
        <v>-1.8455030165199799</v>
      </c>
      <c r="Q48" s="4">
        <v>0.20904526340805399</v>
      </c>
      <c r="R48" s="4">
        <v>-1.8455030165199799</v>
      </c>
      <c r="S48" s="4">
        <v>0.51914898392726905</v>
      </c>
      <c r="T48" s="4">
        <v>0.72077435270181178</v>
      </c>
      <c r="U48" s="4">
        <v>-38.681346623235797</v>
      </c>
      <c r="V48" s="4">
        <v>-309.18403175077901</v>
      </c>
      <c r="W48">
        <v>0</v>
      </c>
      <c r="X48">
        <v>1</v>
      </c>
    </row>
    <row r="49" spans="1:25" x14ac:dyDescent="0.2">
      <c r="A49" t="s">
        <v>3</v>
      </c>
      <c r="B49">
        <v>147.66499999999999</v>
      </c>
      <c r="C49">
        <v>147.76499999999999</v>
      </c>
      <c r="D49">
        <v>800.27117133063496</v>
      </c>
      <c r="E49">
        <v>61.828991696401097</v>
      </c>
      <c r="F49">
        <v>107.57357938134599</v>
      </c>
      <c r="G49">
        <v>514.26233138768112</v>
      </c>
      <c r="H49">
        <v>2.1743055914986162</v>
      </c>
      <c r="I49">
        <v>231.06005724743557</v>
      </c>
      <c r="K49">
        <v>0.5539648692875403</v>
      </c>
      <c r="N49" s="1">
        <v>-12.804074702651434</v>
      </c>
      <c r="O49" s="3"/>
      <c r="P49" s="4">
        <v>-1.1363806607537199</v>
      </c>
      <c r="Q49" s="4">
        <v>0.20904526340805399</v>
      </c>
      <c r="R49" s="4">
        <v>-1.1363806607537199</v>
      </c>
      <c r="S49" s="4">
        <v>0.40028296541165098</v>
      </c>
      <c r="T49" s="4">
        <v>0.64048922894826654</v>
      </c>
      <c r="U49" s="4">
        <v>-37.518434368202499</v>
      </c>
      <c r="V49" s="4">
        <v>-298.185387741086</v>
      </c>
      <c r="W49">
        <v>0</v>
      </c>
      <c r="X49">
        <v>1</v>
      </c>
    </row>
    <row r="50" spans="1:25" x14ac:dyDescent="0.2">
      <c r="A50" t="s">
        <v>3</v>
      </c>
      <c r="B50">
        <v>147.80500000000001</v>
      </c>
      <c r="C50">
        <v>147.89500000000001</v>
      </c>
      <c r="D50">
        <v>601.45258916049897</v>
      </c>
      <c r="E50">
        <v>61.828991696401097</v>
      </c>
      <c r="F50">
        <v>90.553527485067306</v>
      </c>
      <c r="G50">
        <v>502.30716916950507</v>
      </c>
      <c r="H50">
        <v>1.8967310744068016</v>
      </c>
      <c r="I50">
        <v>225.83748319762174</v>
      </c>
      <c r="K50">
        <v>6.7264900921557569E-2</v>
      </c>
      <c r="N50" s="1">
        <v>-8.8943103109768362</v>
      </c>
      <c r="O50" s="3">
        <v>0.24920144935170901</v>
      </c>
      <c r="P50" s="4">
        <v>-1.3489249904778999</v>
      </c>
      <c r="Q50" s="4">
        <v>0.20904526340805399</v>
      </c>
      <c r="R50" s="4">
        <v>-1.3489249904778999</v>
      </c>
      <c r="S50" s="4">
        <v>0.45394312127267</v>
      </c>
      <c r="T50" s="4">
        <v>0.67532537146976346</v>
      </c>
      <c r="U50" s="4">
        <v>-38.240735338916402</v>
      </c>
      <c r="V50" s="4">
        <v>-306.02607952105399</v>
      </c>
      <c r="W50">
        <v>0</v>
      </c>
      <c r="X50">
        <v>1</v>
      </c>
    </row>
    <row r="51" spans="1:25" s="5" customFormat="1" x14ac:dyDescent="0.2">
      <c r="A51" s="5" t="s">
        <v>3</v>
      </c>
      <c r="B51" s="5">
        <v>148.435</v>
      </c>
      <c r="C51" s="5">
        <v>148.505</v>
      </c>
      <c r="D51" s="5">
        <v>2867.6741631518998</v>
      </c>
      <c r="E51" s="5">
        <v>59.3430600733112</v>
      </c>
      <c r="F51" s="5">
        <v>320.97759355066103</v>
      </c>
      <c r="G51" s="5">
        <v>504.35314877831945</v>
      </c>
      <c r="H51">
        <v>2.7</v>
      </c>
      <c r="I51" s="5">
        <v>250.63224699118322</v>
      </c>
      <c r="K51">
        <v>1.2</v>
      </c>
      <c r="N51" s="6"/>
      <c r="O51" s="7"/>
      <c r="P51" s="7">
        <v>0.22905546102980301</v>
      </c>
      <c r="Q51" s="7">
        <v>0.17142731656810201</v>
      </c>
      <c r="R51" s="7">
        <v>-0.28691535797409401</v>
      </c>
      <c r="S51" s="7">
        <v>0.27672502427319201</v>
      </c>
      <c r="T51" s="7">
        <v>0.5714689309656289</v>
      </c>
      <c r="U51" s="7">
        <v>-34.5927981991398</v>
      </c>
      <c r="V51" s="7">
        <v>-273.80641621373502</v>
      </c>
      <c r="W51" s="5">
        <v>0</v>
      </c>
      <c r="X51" s="5">
        <v>1</v>
      </c>
      <c r="Y51" s="5" t="s">
        <v>30</v>
      </c>
    </row>
    <row r="52" spans="1:25" s="5" customFormat="1" x14ac:dyDescent="0.2">
      <c r="A52" s="5" t="s">
        <v>3</v>
      </c>
      <c r="B52" s="5">
        <v>148.435</v>
      </c>
      <c r="C52" s="5">
        <v>148.505</v>
      </c>
      <c r="D52" s="5">
        <v>2674.51253894107</v>
      </c>
      <c r="E52" s="5">
        <v>61.828991696401097</v>
      </c>
      <c r="F52" s="5">
        <v>300.62324227798001</v>
      </c>
      <c r="G52" s="5">
        <v>510.87598062311241</v>
      </c>
      <c r="H52">
        <v>2.7</v>
      </c>
      <c r="I52" s="5">
        <v>248.45517809438687</v>
      </c>
      <c r="J52" s="5">
        <v>247.78439881020671</v>
      </c>
      <c r="K52" s="5">
        <v>0.24353069642282321</v>
      </c>
      <c r="M52" s="5">
        <v>-6.8450251299734646</v>
      </c>
      <c r="N52" s="8">
        <v>-29.207296885019971</v>
      </c>
      <c r="O52" s="7">
        <v>-0.10616832800212576</v>
      </c>
      <c r="P52" s="7">
        <v>-0.28691535797409401</v>
      </c>
      <c r="Q52" s="7">
        <v>0.20904526340805399</v>
      </c>
      <c r="R52" s="7">
        <v>0.22905546102980301</v>
      </c>
      <c r="S52" s="7">
        <v>0.24712341255907599</v>
      </c>
      <c r="T52" s="7">
        <v>0.55773647992115716</v>
      </c>
      <c r="U52" s="7">
        <v>-35.317035296089898</v>
      </c>
      <c r="V52" s="7">
        <v>-278.56773434959302</v>
      </c>
      <c r="W52" s="5">
        <v>0</v>
      </c>
      <c r="X52" s="5">
        <v>1</v>
      </c>
      <c r="Y52"/>
    </row>
    <row r="53" spans="1:25" x14ac:dyDescent="0.2">
      <c r="A53" t="s">
        <v>3</v>
      </c>
      <c r="B53">
        <v>148.64500000000001</v>
      </c>
      <c r="C53">
        <v>148.73500000000001</v>
      </c>
      <c r="D53">
        <v>2015.5950392316799</v>
      </c>
      <c r="E53">
        <v>61.828991696401097</v>
      </c>
      <c r="F53">
        <v>230.175078791158</v>
      </c>
      <c r="G53">
        <v>517.29237854614007</v>
      </c>
      <c r="H53">
        <v>2.2840616518074057</v>
      </c>
      <c r="I53">
        <v>245.33707558776092</v>
      </c>
      <c r="K53">
        <v>1.1540735196443703</v>
      </c>
      <c r="N53" s="1">
        <v>-26.503898531677056</v>
      </c>
      <c r="O53" s="3">
        <v>3.1935524101844262E-2</v>
      </c>
      <c r="P53" s="3">
        <v>-0.573959156925263</v>
      </c>
      <c r="Q53" s="3">
        <v>0.20904526340805399</v>
      </c>
      <c r="R53" s="3">
        <v>-0.573959156925263</v>
      </c>
      <c r="S53" s="3">
        <v>0.29404266137089202</v>
      </c>
      <c r="T53" s="3">
        <v>0.58005265856306276</v>
      </c>
      <c r="U53" s="3">
        <v>-35.721499728891999</v>
      </c>
      <c r="V53" s="3">
        <v>-283.02622922507697</v>
      </c>
      <c r="W53">
        <v>0</v>
      </c>
      <c r="X53">
        <v>1</v>
      </c>
    </row>
    <row r="54" spans="1:25" x14ac:dyDescent="0.2">
      <c r="A54" t="s">
        <v>3</v>
      </c>
      <c r="B54">
        <v>148.73500000000001</v>
      </c>
      <c r="C54">
        <v>148.815</v>
      </c>
      <c r="D54">
        <v>1750.9</v>
      </c>
      <c r="E54">
        <v>63</v>
      </c>
      <c r="F54">
        <f>D54*0.11</f>
        <v>192.59900000000002</v>
      </c>
      <c r="G54">
        <v>508.5070610482299</v>
      </c>
      <c r="H54">
        <v>0.6662827927000875</v>
      </c>
      <c r="I54">
        <v>237.20138198272701</v>
      </c>
      <c r="K54">
        <v>0.89360030380454702</v>
      </c>
      <c r="N54" s="2"/>
      <c r="O54" s="3"/>
      <c r="W54">
        <v>0</v>
      </c>
      <c r="X54">
        <v>1</v>
      </c>
    </row>
    <row r="55" spans="1:25" x14ac:dyDescent="0.2">
      <c r="A55" t="s">
        <v>3</v>
      </c>
      <c r="B55">
        <v>148.815</v>
      </c>
      <c r="C55">
        <v>148.86500000000001</v>
      </c>
      <c r="D55">
        <v>1983.72236931253</v>
      </c>
      <c r="E55">
        <v>61.828991696401097</v>
      </c>
      <c r="F55">
        <v>226.79989620847601</v>
      </c>
      <c r="G55">
        <v>506.3974285291618</v>
      </c>
      <c r="H55">
        <v>2.6033836274186792</v>
      </c>
      <c r="I55">
        <v>239.03537444315583</v>
      </c>
      <c r="K55">
        <v>0.64242658139551168</v>
      </c>
      <c r="N55" s="1">
        <v>-20.704969626699551</v>
      </c>
      <c r="O55" s="3"/>
      <c r="P55" s="3">
        <v>-0.37405524463352002</v>
      </c>
      <c r="Q55" s="3">
        <v>0.20904526340805399</v>
      </c>
      <c r="R55" s="3">
        <v>-0.37405524463352002</v>
      </c>
      <c r="S55" s="3">
        <v>0.28085693011719698</v>
      </c>
      <c r="T55" s="3">
        <v>0.57348113761034558</v>
      </c>
      <c r="U55" s="3">
        <v>-36.030626116819299</v>
      </c>
      <c r="V55" s="3">
        <v>-285.35970121834998</v>
      </c>
      <c r="W55">
        <v>0</v>
      </c>
      <c r="X55">
        <v>1</v>
      </c>
    </row>
    <row r="56" spans="1:25" x14ac:dyDescent="0.2">
      <c r="A56" t="s">
        <v>3</v>
      </c>
      <c r="B56">
        <v>148.86500000000001</v>
      </c>
      <c r="C56">
        <v>149.05500000000001</v>
      </c>
      <c r="D56">
        <v>2144.4</v>
      </c>
      <c r="E56">
        <v>63</v>
      </c>
      <c r="F56">
        <f>D56*0.11</f>
        <v>235.88400000000001</v>
      </c>
      <c r="G56">
        <v>510.6399458593533</v>
      </c>
      <c r="H56">
        <v>2.980627992725374</v>
      </c>
      <c r="I56">
        <v>228.81414915472953</v>
      </c>
      <c r="K56">
        <v>6.404663661124558</v>
      </c>
      <c r="N56" s="2"/>
      <c r="O56" s="3"/>
      <c r="P56" s="3"/>
      <c r="Q56" s="3"/>
      <c r="R56" s="3"/>
      <c r="S56" s="3"/>
      <c r="T56" s="3"/>
      <c r="U56" s="3"/>
      <c r="V56" s="3"/>
      <c r="W56">
        <v>0</v>
      </c>
      <c r="X56">
        <v>1</v>
      </c>
    </row>
    <row r="57" spans="1:25" x14ac:dyDescent="0.2">
      <c r="A57" t="s">
        <v>3</v>
      </c>
      <c r="B57">
        <v>149.05500000000001</v>
      </c>
      <c r="C57">
        <v>149.315</v>
      </c>
      <c r="D57">
        <v>2043.7</v>
      </c>
      <c r="E57">
        <v>63</v>
      </c>
      <c r="F57">
        <f>D57*0.11</f>
        <v>224.80700000000002</v>
      </c>
      <c r="G57">
        <v>507.96180058983202</v>
      </c>
      <c r="H57">
        <v>0.7579471484965552</v>
      </c>
      <c r="I57">
        <v>237.43370407602828</v>
      </c>
      <c r="K57">
        <v>1.3719523546600811</v>
      </c>
      <c r="N57" s="2"/>
      <c r="O57" s="3"/>
      <c r="P57" s="3"/>
      <c r="Q57" s="3"/>
      <c r="R57" s="3"/>
      <c r="S57" s="3"/>
      <c r="T57" s="3"/>
      <c r="U57" s="3"/>
      <c r="V57" s="3"/>
      <c r="W57">
        <v>0</v>
      </c>
      <c r="X57">
        <v>1</v>
      </c>
    </row>
    <row r="58" spans="1:25" x14ac:dyDescent="0.2">
      <c r="A58" t="s">
        <v>3</v>
      </c>
      <c r="B58">
        <v>149.315</v>
      </c>
      <c r="C58">
        <v>149.41499999999999</v>
      </c>
      <c r="D58">
        <v>1861.9</v>
      </c>
      <c r="E58">
        <v>63</v>
      </c>
      <c r="F58">
        <f>D58*0.11</f>
        <v>204.809</v>
      </c>
      <c r="G58">
        <v>511.03955008013315</v>
      </c>
      <c r="H58">
        <v>0.26305478679182664</v>
      </c>
      <c r="I58">
        <v>229.26641649352968</v>
      </c>
      <c r="K58">
        <v>1.8837417775202849</v>
      </c>
      <c r="N58" s="2"/>
      <c r="O58" s="3"/>
      <c r="P58" s="3"/>
      <c r="Q58" s="3"/>
      <c r="R58" s="3"/>
      <c r="S58" s="3"/>
      <c r="T58" s="3"/>
      <c r="U58" s="3"/>
      <c r="V58" s="3"/>
      <c r="W58">
        <v>0</v>
      </c>
      <c r="X58">
        <v>1</v>
      </c>
    </row>
    <row r="59" spans="1:25" x14ac:dyDescent="0.2">
      <c r="A59" t="s">
        <v>3</v>
      </c>
      <c r="B59">
        <v>149.41499999999999</v>
      </c>
      <c r="C59">
        <v>149.52500000000001</v>
      </c>
      <c r="D59">
        <v>2080.41959469427</v>
      </c>
      <c r="E59">
        <v>61.828991696401097</v>
      </c>
      <c r="F59">
        <v>237.051443916815</v>
      </c>
      <c r="G59">
        <v>506.50560172795059</v>
      </c>
      <c r="H59">
        <v>6.6241738476596197</v>
      </c>
      <c r="I59">
        <v>235.80823190583291</v>
      </c>
      <c r="J59">
        <v>236.13665985237756</v>
      </c>
      <c r="K59">
        <v>0.95049642816334756</v>
      </c>
      <c r="M59">
        <v>-6.1307418443651658</v>
      </c>
      <c r="N59" s="1">
        <v>-18.180815685172597</v>
      </c>
      <c r="O59" s="3">
        <v>1.0183184121339409E-2</v>
      </c>
      <c r="P59" s="3">
        <v>-0.77854090072326798</v>
      </c>
      <c r="Q59" s="3">
        <v>0.20904526340805399</v>
      </c>
      <c r="R59" s="3">
        <v>-0.77854090072326798</v>
      </c>
      <c r="S59" s="3">
        <v>0.31229626881745198</v>
      </c>
      <c r="T59" s="3">
        <v>0.58951586875783268</v>
      </c>
      <c r="U59" s="3">
        <v>-35.793188046602602</v>
      </c>
      <c r="V59" s="3">
        <v>-283.27932542941898</v>
      </c>
      <c r="W59">
        <v>0</v>
      </c>
      <c r="X59">
        <v>1</v>
      </c>
    </row>
    <row r="60" spans="1:25" x14ac:dyDescent="0.2">
      <c r="A60" t="s">
        <v>3</v>
      </c>
      <c r="B60">
        <v>149.685</v>
      </c>
      <c r="C60">
        <v>149.83500000000001</v>
      </c>
      <c r="D60">
        <v>1083.9061606543</v>
      </c>
      <c r="E60">
        <v>61.828991696401097</v>
      </c>
      <c r="F60">
        <v>134.307632887919</v>
      </c>
      <c r="G60">
        <v>506.3892696380945</v>
      </c>
      <c r="H60">
        <v>3.8572144982729806</v>
      </c>
      <c r="I60">
        <v>222.22438376248894</v>
      </c>
      <c r="K60">
        <v>0.47980757028790316</v>
      </c>
      <c r="N60" s="1">
        <v>-13.957668480050454</v>
      </c>
      <c r="O60" s="3">
        <v>0.15599926932412869</v>
      </c>
      <c r="P60" s="3">
        <v>-2.17740696076463</v>
      </c>
      <c r="Q60" s="3">
        <v>0.20904526340805399</v>
      </c>
      <c r="R60" s="3">
        <v>-2.17740696076463</v>
      </c>
      <c r="S60" s="3">
        <v>0.54609161783055504</v>
      </c>
      <c r="T60" s="3">
        <v>0.74041613641572734</v>
      </c>
      <c r="U60" s="3">
        <v>-37.3940333876388</v>
      </c>
      <c r="V60" s="3">
        <v>-299.31682872098798</v>
      </c>
      <c r="W60">
        <v>0</v>
      </c>
      <c r="X60">
        <v>1</v>
      </c>
    </row>
    <row r="61" spans="1:25" x14ac:dyDescent="0.2">
      <c r="A61" t="s">
        <v>3</v>
      </c>
      <c r="B61">
        <v>150.19499999999999</v>
      </c>
      <c r="C61">
        <v>150.27500000000001</v>
      </c>
      <c r="D61">
        <v>958.53780072018003</v>
      </c>
      <c r="E61">
        <v>61.828991696401097</v>
      </c>
      <c r="F61">
        <v>122.23027558935</v>
      </c>
      <c r="G61">
        <v>519.80360516000053</v>
      </c>
      <c r="H61">
        <v>2.1665726985872875</v>
      </c>
      <c r="I61">
        <v>223.63439044695588</v>
      </c>
      <c r="K61">
        <v>0.84500111155062996</v>
      </c>
      <c r="N61" s="1">
        <v>-9.5069460332594726</v>
      </c>
      <c r="O61" s="3">
        <v>0.17754612171601214</v>
      </c>
      <c r="P61" s="3">
        <v>-1.83854137019412</v>
      </c>
      <c r="Q61" s="3">
        <v>0.20904526340805399</v>
      </c>
      <c r="R61" s="3">
        <v>-1.83854137019412</v>
      </c>
      <c r="S61" s="3">
        <v>0.49374222722991201</v>
      </c>
      <c r="T61" s="3">
        <v>0.70269579972414387</v>
      </c>
      <c r="U61" s="3">
        <v>-37.484851918593499</v>
      </c>
      <c r="V61" s="3">
        <v>-299.01213016599399</v>
      </c>
      <c r="W61">
        <v>0</v>
      </c>
      <c r="X61">
        <v>1</v>
      </c>
    </row>
    <row r="62" spans="1:25" x14ac:dyDescent="0.2">
      <c r="A62" t="s">
        <v>3</v>
      </c>
      <c r="B62">
        <v>150.94499999999999</v>
      </c>
      <c r="C62">
        <v>150.98500000000001</v>
      </c>
      <c r="D62">
        <v>1157.8343100258901</v>
      </c>
      <c r="E62">
        <v>61.828991696401097</v>
      </c>
      <c r="F62">
        <v>141.57628938780201</v>
      </c>
      <c r="G62">
        <v>518.53005043374515</v>
      </c>
      <c r="H62">
        <v>9.5801820851509909</v>
      </c>
      <c r="I62">
        <v>235.27861542145448</v>
      </c>
      <c r="K62">
        <v>0.95726922254519298</v>
      </c>
      <c r="N62" s="1">
        <v>-12.428742245432836</v>
      </c>
      <c r="O62" s="3">
        <v>0.14219136449777961</v>
      </c>
      <c r="P62" s="3">
        <v>-1.3337902489857201</v>
      </c>
      <c r="Q62" s="3">
        <v>0.20904526340805399</v>
      </c>
      <c r="R62" s="3">
        <v>-1.3337902489857201</v>
      </c>
      <c r="S62" s="3">
        <v>0.42394795586831002</v>
      </c>
      <c r="T62" s="3">
        <v>0.65553937279534824</v>
      </c>
      <c r="U62" s="3">
        <v>-37.707455584573403</v>
      </c>
      <c r="V62" s="3">
        <v>-300.75566575502302</v>
      </c>
      <c r="W62">
        <v>0</v>
      </c>
      <c r="X62">
        <v>1</v>
      </c>
    </row>
    <row r="63" spans="1:25" x14ac:dyDescent="0.2">
      <c r="A63" t="s">
        <v>3</v>
      </c>
      <c r="B63">
        <v>151.155</v>
      </c>
      <c r="C63">
        <v>151.255</v>
      </c>
      <c r="D63">
        <v>558.216072768093</v>
      </c>
      <c r="E63">
        <v>61.828991696401097</v>
      </c>
      <c r="F63">
        <v>87.139238804013502</v>
      </c>
      <c r="G63">
        <v>507.26593452973964</v>
      </c>
      <c r="H63">
        <v>4.8801035803322748</v>
      </c>
      <c r="I63">
        <v>221.66686812819876</v>
      </c>
      <c r="K63">
        <v>1.237473348950459</v>
      </c>
      <c r="N63" s="1">
        <v>-6.3773420820723743</v>
      </c>
      <c r="O63" s="3">
        <v>0.19840922563529875</v>
      </c>
      <c r="P63" s="3">
        <v>-2.0358835430957001</v>
      </c>
      <c r="Q63" s="3">
        <v>0.20904526340805399</v>
      </c>
      <c r="R63" s="3">
        <v>-2.0358835430957001</v>
      </c>
      <c r="S63" s="3">
        <v>0.54687593126344303</v>
      </c>
      <c r="T63" s="3">
        <v>0.74099479363573006</v>
      </c>
      <c r="U63" s="3">
        <v>-38.928897251782502</v>
      </c>
      <c r="V63" s="3">
        <v>-311.549300635017</v>
      </c>
      <c r="W63">
        <v>0</v>
      </c>
      <c r="X63">
        <v>1</v>
      </c>
    </row>
    <row r="64" spans="1:25" x14ac:dyDescent="0.2">
      <c r="A64" t="s">
        <v>3</v>
      </c>
      <c r="B64">
        <v>151.255</v>
      </c>
      <c r="C64">
        <v>151.38499999999999</v>
      </c>
      <c r="D64">
        <v>678.33698469074102</v>
      </c>
      <c r="E64">
        <v>61.828991696401097</v>
      </c>
      <c r="F64">
        <v>96.904752712472799</v>
      </c>
      <c r="G64">
        <v>495.12104736837335</v>
      </c>
      <c r="H64">
        <v>1.6488879310003879</v>
      </c>
      <c r="I64">
        <v>222.34206505691105</v>
      </c>
      <c r="K64">
        <v>4.039506190605934</v>
      </c>
      <c r="N64" s="1">
        <v>-16.754080973096208</v>
      </c>
      <c r="O64" s="3">
        <v>0.21300164034777425</v>
      </c>
      <c r="P64" s="3">
        <v>-1.5333358932413399</v>
      </c>
      <c r="Q64" s="3">
        <v>0.20904526340805399</v>
      </c>
      <c r="R64" s="3">
        <v>-1.5333358932413399</v>
      </c>
      <c r="S64" s="3">
        <v>0.47678629448992299</v>
      </c>
      <c r="T64" s="3">
        <v>0.6908872343685557</v>
      </c>
      <c r="U64" s="3">
        <v>-38.719506180610502</v>
      </c>
      <c r="V64" s="3">
        <v>-311.84191000797802</v>
      </c>
      <c r="W64">
        <v>0</v>
      </c>
      <c r="X64">
        <v>1</v>
      </c>
    </row>
    <row r="65" spans="1:25" x14ac:dyDescent="0.2">
      <c r="A65" t="s">
        <v>3</v>
      </c>
      <c r="B65">
        <v>151.94499999999999</v>
      </c>
      <c r="C65">
        <v>152.07499999999999</v>
      </c>
      <c r="D65">
        <v>2008.8826578032199</v>
      </c>
      <c r="E65">
        <v>61.828991696401097</v>
      </c>
      <c r="F65">
        <v>229.46393956643001</v>
      </c>
      <c r="G65">
        <v>530.87175835568598</v>
      </c>
      <c r="H65">
        <v>2.7</v>
      </c>
      <c r="I65">
        <v>268.58084480028953</v>
      </c>
      <c r="J65">
        <v>272.01516206474048</v>
      </c>
      <c r="K65">
        <v>0.96400720663677919</v>
      </c>
      <c r="L65" s="9">
        <v>238.70582131076449</v>
      </c>
      <c r="M65">
        <v>-9.3379668344845488</v>
      </c>
      <c r="N65" s="1">
        <v>-26.620177660224336</v>
      </c>
      <c r="O65" s="3">
        <v>0.10779430363771768</v>
      </c>
      <c r="P65" s="3">
        <v>-1.3058572125735901</v>
      </c>
      <c r="Q65" s="3">
        <v>0.20904526340805399</v>
      </c>
      <c r="R65" s="3">
        <v>-1.3058572125735901</v>
      </c>
      <c r="S65" s="3">
        <v>0.37615747305956998</v>
      </c>
      <c r="T65" s="3">
        <v>0.62569516902287259</v>
      </c>
      <c r="U65" s="3">
        <v>-36.4780962667691</v>
      </c>
      <c r="V65" s="3">
        <v>-288.37380934771397</v>
      </c>
      <c r="W65">
        <v>1</v>
      </c>
      <c r="X65">
        <v>1</v>
      </c>
    </row>
    <row r="66" spans="1:25" x14ac:dyDescent="0.2">
      <c r="A66" t="s">
        <v>3</v>
      </c>
      <c r="B66">
        <v>152.26499999999999</v>
      </c>
      <c r="C66">
        <v>152.41499999999999</v>
      </c>
      <c r="D66">
        <v>1507.1805347940999</v>
      </c>
      <c r="E66">
        <v>61.828991696401097</v>
      </c>
      <c r="F66">
        <v>176.94378063155199</v>
      </c>
      <c r="G66">
        <v>535.44626157470361</v>
      </c>
      <c r="H66">
        <v>8.477138520381402</v>
      </c>
      <c r="I66">
        <v>554.78481910271717</v>
      </c>
      <c r="K66">
        <v>31.184502143124121</v>
      </c>
      <c r="N66" s="2">
        <v>-37.994185929275353</v>
      </c>
      <c r="O66" s="3">
        <v>0.20190585357345625</v>
      </c>
      <c r="P66" s="3">
        <v>-0.115369324026782</v>
      </c>
      <c r="Q66" s="3">
        <v>0.20904526340805399</v>
      </c>
      <c r="R66" s="3">
        <v>-0.115369324026782</v>
      </c>
      <c r="S66" s="3">
        <v>0.27169159977886398</v>
      </c>
      <c r="T66" s="3">
        <v>0.56904861425927256</v>
      </c>
      <c r="U66" s="3">
        <v>-37.1824538985272</v>
      </c>
      <c r="V66" s="3">
        <v>-295.90590724190298</v>
      </c>
      <c r="W66">
        <v>1</v>
      </c>
      <c r="X66">
        <v>1</v>
      </c>
    </row>
    <row r="67" spans="1:25" x14ac:dyDescent="0.2">
      <c r="A67" t="s">
        <v>3</v>
      </c>
      <c r="B67">
        <v>152.66499999999999</v>
      </c>
      <c r="C67">
        <v>152.80500000000001</v>
      </c>
      <c r="D67">
        <v>1847.39318065565</v>
      </c>
      <c r="E67">
        <v>61.828991696401097</v>
      </c>
      <c r="F67">
        <v>212.411038173121</v>
      </c>
      <c r="G67">
        <v>533.16522400329893</v>
      </c>
      <c r="H67">
        <v>0.48302853678649166</v>
      </c>
      <c r="I67">
        <v>658.10092505914895</v>
      </c>
      <c r="J67">
        <v>580.480595642136</v>
      </c>
      <c r="K67">
        <v>0.37692903989881188</v>
      </c>
      <c r="L67" s="9">
        <v>282.81585332274454</v>
      </c>
      <c r="M67">
        <v>-18.062450884749218</v>
      </c>
      <c r="N67" s="1">
        <v>-38.588877405084389</v>
      </c>
      <c r="O67" s="3">
        <v>0.14402772660383434</v>
      </c>
      <c r="P67" s="3">
        <v>-0.74898337492068701</v>
      </c>
      <c r="Q67" s="3">
        <v>0.20904526340805399</v>
      </c>
      <c r="R67" s="3">
        <v>-0.74898337492068701</v>
      </c>
      <c r="S67" s="3">
        <v>0.30939128298910701</v>
      </c>
      <c r="T67" s="3">
        <v>0.58798211366473185</v>
      </c>
      <c r="U67" s="3">
        <v>-36.657769583961098</v>
      </c>
      <c r="V67" s="3">
        <v>-291.62084862789698</v>
      </c>
      <c r="W67">
        <v>1</v>
      </c>
      <c r="X67">
        <v>1</v>
      </c>
    </row>
    <row r="68" spans="1:25" x14ac:dyDescent="0.2">
      <c r="A68" t="s">
        <v>3</v>
      </c>
      <c r="B68">
        <v>153.035</v>
      </c>
      <c r="C68">
        <v>153.13499999999999</v>
      </c>
      <c r="D68">
        <v>2606.4817476275998</v>
      </c>
      <c r="E68">
        <v>61.828991696401097</v>
      </c>
      <c r="F68">
        <v>293.30387677774502</v>
      </c>
      <c r="G68">
        <v>554.36487236367736</v>
      </c>
      <c r="H68">
        <v>3.1967361666964957</v>
      </c>
      <c r="I68">
        <v>515.05519999068429</v>
      </c>
      <c r="K68">
        <v>1.2</v>
      </c>
      <c r="L68" s="9">
        <v>307.59479999999996</v>
      </c>
      <c r="M68">
        <v>-15.509</v>
      </c>
      <c r="N68" s="2"/>
      <c r="O68" s="3"/>
      <c r="P68" s="3">
        <v>-0.27155832313618999</v>
      </c>
      <c r="Q68" s="3">
        <v>0.17142731656810201</v>
      </c>
      <c r="R68" s="3">
        <v>-0.27155832313618999</v>
      </c>
      <c r="S68" s="3">
        <v>0.24883946990042</v>
      </c>
      <c r="T68" s="3">
        <v>0.55849895414434036</v>
      </c>
      <c r="U68" s="3">
        <v>-36.250252589642749</v>
      </c>
      <c r="V68" s="3">
        <v>-286.52621429750701</v>
      </c>
      <c r="W68">
        <v>1</v>
      </c>
      <c r="X68">
        <v>1</v>
      </c>
      <c r="Y68" t="s">
        <v>19</v>
      </c>
    </row>
    <row r="69" spans="1:25" x14ac:dyDescent="0.2">
      <c r="A69" t="s">
        <v>3</v>
      </c>
      <c r="B69">
        <v>153.86500000000001</v>
      </c>
      <c r="C69">
        <v>153.97499999999999</v>
      </c>
      <c r="D69">
        <v>898.58128911113999</v>
      </c>
      <c r="E69">
        <v>61.828991696401097</v>
      </c>
      <c r="F69">
        <v>116.588803258269</v>
      </c>
      <c r="G69">
        <v>520.70611105067496</v>
      </c>
      <c r="H69">
        <v>1.0569748004631947</v>
      </c>
      <c r="I69">
        <v>230.90615050389903</v>
      </c>
      <c r="K69">
        <v>1.2</v>
      </c>
      <c r="M69">
        <v>-6.5310000000000006</v>
      </c>
      <c r="N69" s="2"/>
      <c r="O69" s="3"/>
      <c r="P69" s="3">
        <v>0.31413644835076598</v>
      </c>
      <c r="Q69" s="3">
        <v>0.20904526340805399</v>
      </c>
      <c r="R69" s="3">
        <v>-1.47788478314881</v>
      </c>
      <c r="S69" s="3">
        <v>0.426175025261045</v>
      </c>
      <c r="T69" s="3">
        <v>0.65698185070536941</v>
      </c>
      <c r="U69" s="3">
        <v>-37.026823052054098</v>
      </c>
      <c r="V69" s="3">
        <v>-294.18780059250798</v>
      </c>
      <c r="W69">
        <v>0</v>
      </c>
      <c r="X69">
        <v>1</v>
      </c>
      <c r="Y69" t="s">
        <v>19</v>
      </c>
    </row>
    <row r="70" spans="1:25" x14ac:dyDescent="0.2">
      <c r="A70" t="s">
        <v>3</v>
      </c>
      <c r="B70">
        <v>154.66499999999999</v>
      </c>
      <c r="C70">
        <v>154.755</v>
      </c>
      <c r="D70">
        <v>846.26825938151296</v>
      </c>
      <c r="E70">
        <v>61.828991696401097</v>
      </c>
      <c r="F70">
        <v>111.75187163048599</v>
      </c>
      <c r="G70">
        <v>524.18273441756719</v>
      </c>
      <c r="H70">
        <v>2.2902525386955404</v>
      </c>
      <c r="I70">
        <v>335.17775416866766</v>
      </c>
      <c r="J70">
        <v>347.99410521554029</v>
      </c>
      <c r="K70">
        <v>8.7117702241714579</v>
      </c>
      <c r="L70" s="9">
        <v>310.51748465489288</v>
      </c>
      <c r="M70">
        <v>-8.9849789304864682</v>
      </c>
      <c r="N70" s="1">
        <v>-4.8727417473912347</v>
      </c>
      <c r="O70" s="3">
        <v>0.14087346359467534</v>
      </c>
      <c r="P70" s="3">
        <v>-1.09083423141543</v>
      </c>
      <c r="Q70" s="3">
        <v>0.20904526340805399</v>
      </c>
      <c r="R70" s="3">
        <v>-1.09083423141543</v>
      </c>
      <c r="S70" s="3">
        <v>0.39518196437900599</v>
      </c>
      <c r="T70" s="3">
        <v>0.6373137257037933</v>
      </c>
      <c r="U70" s="3">
        <v>-36.4754594332015</v>
      </c>
      <c r="V70" s="3">
        <v>-291.82148284112998</v>
      </c>
      <c r="W70">
        <v>1</v>
      </c>
      <c r="X70">
        <v>1</v>
      </c>
    </row>
    <row r="71" spans="1:25" x14ac:dyDescent="0.2">
      <c r="A71" t="s">
        <v>3</v>
      </c>
      <c r="B71">
        <v>154.755</v>
      </c>
      <c r="C71">
        <v>154.845</v>
      </c>
      <c r="D71">
        <v>891.04806935775605</v>
      </c>
      <c r="E71">
        <v>61.828991696401097</v>
      </c>
      <c r="F71">
        <v>115.887103783201</v>
      </c>
      <c r="G71">
        <v>516.74691375200985</v>
      </c>
      <c r="H71">
        <v>2.6529799178224494</v>
      </c>
      <c r="I71">
        <v>312.17421836619866</v>
      </c>
      <c r="J71">
        <v>307.53362380279918</v>
      </c>
      <c r="K71">
        <v>4.2434915477354584</v>
      </c>
      <c r="L71" s="9">
        <v>276.36821380442689</v>
      </c>
      <c r="M71">
        <v>-8.8480577807317466</v>
      </c>
      <c r="N71" s="2">
        <v>-8.6842275816870114</v>
      </c>
      <c r="O71" s="3">
        <v>0.20876008761205075</v>
      </c>
      <c r="P71" s="3">
        <v>-1.02684617434023</v>
      </c>
      <c r="Q71" s="3">
        <v>0.20904526340805399</v>
      </c>
      <c r="R71" s="3">
        <v>-1.02684617434023</v>
      </c>
      <c r="S71" s="3">
        <v>0.38826348628686402</v>
      </c>
      <c r="T71" s="3">
        <v>0.633047024148783</v>
      </c>
      <c r="U71" s="3">
        <v>-36.564110088829104</v>
      </c>
      <c r="V71" s="3">
        <v>-291.84758649159801</v>
      </c>
      <c r="W71">
        <v>1</v>
      </c>
      <c r="X71">
        <v>1</v>
      </c>
    </row>
    <row r="72" spans="1:25" x14ac:dyDescent="0.2">
      <c r="A72" t="s">
        <v>3</v>
      </c>
      <c r="B72">
        <v>154.845</v>
      </c>
      <c r="C72">
        <v>154.94499999999999</v>
      </c>
      <c r="D72">
        <v>1163.2172555933</v>
      </c>
      <c r="E72">
        <v>59.3430600733112</v>
      </c>
      <c r="F72">
        <v>141.04537859056501</v>
      </c>
      <c r="G72">
        <v>517.42588238942142</v>
      </c>
      <c r="H72">
        <v>2.7</v>
      </c>
      <c r="I72">
        <v>346.34200326837527</v>
      </c>
      <c r="K72">
        <v>1.2</v>
      </c>
      <c r="L72" s="9">
        <v>257.64835555555561</v>
      </c>
      <c r="M72">
        <v>-12.147999999999998</v>
      </c>
      <c r="N72" s="2"/>
      <c r="O72" s="3"/>
      <c r="P72" s="3">
        <v>-1.54773421781551</v>
      </c>
      <c r="Q72" s="3">
        <v>0.17142731656810201</v>
      </c>
      <c r="R72" s="3">
        <v>-1.54773421781551</v>
      </c>
      <c r="S72" s="3">
        <v>0.435980117924682</v>
      </c>
      <c r="T72" s="3">
        <v>0.66338425005845569</v>
      </c>
      <c r="U72" s="3">
        <v>-36.4705622579649</v>
      </c>
      <c r="V72" s="3">
        <v>-290.77255803942103</v>
      </c>
      <c r="W72">
        <v>1</v>
      </c>
      <c r="X72">
        <v>1</v>
      </c>
    </row>
    <row r="73" spans="1:25" x14ac:dyDescent="0.2">
      <c r="A73" t="s">
        <v>3</v>
      </c>
      <c r="B73">
        <v>154.94499999999999</v>
      </c>
      <c r="C73">
        <v>155.065</v>
      </c>
      <c r="D73">
        <v>1374.87174358989</v>
      </c>
      <c r="E73">
        <v>59.3430600733112</v>
      </c>
      <c r="F73">
        <v>162.46197630787199</v>
      </c>
      <c r="G73">
        <v>543.65532204425449</v>
      </c>
      <c r="H73">
        <v>7.9252682656163529</v>
      </c>
      <c r="I73">
        <v>544.54601024920851</v>
      </c>
      <c r="K73">
        <v>1.2</v>
      </c>
      <c r="L73" s="9">
        <v>262.73751111111108</v>
      </c>
      <c r="M73">
        <v>-18.093</v>
      </c>
      <c r="N73" s="2"/>
      <c r="O73" s="3"/>
      <c r="P73" s="3">
        <v>-1.1812631821769299</v>
      </c>
      <c r="Q73" s="3">
        <v>0.17142731656810201</v>
      </c>
      <c r="R73" s="3">
        <v>-1.1812631821769299</v>
      </c>
      <c r="S73" s="3">
        <v>0.33880176075163898</v>
      </c>
      <c r="T73" s="3">
        <v>0.60397568915347144</v>
      </c>
      <c r="U73" s="3">
        <v>-36.693859250996603</v>
      </c>
      <c r="V73" s="3">
        <v>-291.431482476844</v>
      </c>
      <c r="W73">
        <v>1</v>
      </c>
      <c r="X73">
        <v>1</v>
      </c>
    </row>
    <row r="74" spans="1:25" x14ac:dyDescent="0.2">
      <c r="A74" t="s">
        <v>3</v>
      </c>
      <c r="B74">
        <v>155.35499999999999</v>
      </c>
      <c r="C74">
        <v>155.435</v>
      </c>
      <c r="D74">
        <v>1602.9531498414201</v>
      </c>
      <c r="E74">
        <v>59.3430600733112</v>
      </c>
      <c r="F74">
        <v>186.04314087319</v>
      </c>
      <c r="G74">
        <v>554.65250229132766</v>
      </c>
      <c r="H74">
        <v>1.3499421922289798</v>
      </c>
      <c r="I74">
        <v>678.1408292752019</v>
      </c>
      <c r="K74">
        <v>1.2</v>
      </c>
      <c r="L74" s="9">
        <v>215.33846888439828</v>
      </c>
      <c r="M74">
        <v>-21.831927048808364</v>
      </c>
      <c r="N74" s="2"/>
      <c r="O74" s="3"/>
      <c r="P74" s="3">
        <v>-0.43481555216728901</v>
      </c>
      <c r="Q74" s="3">
        <v>0.17142731656810201</v>
      </c>
      <c r="R74" s="3">
        <v>-0.43481555216728901</v>
      </c>
      <c r="S74" s="3">
        <v>0.25794167449639099</v>
      </c>
      <c r="T74" s="3">
        <v>0.56261346183858962</v>
      </c>
      <c r="U74" s="3">
        <v>-36.746568841626399</v>
      </c>
      <c r="V74" s="3">
        <v>-292.18963091580798</v>
      </c>
      <c r="W74">
        <v>1</v>
      </c>
      <c r="X74">
        <v>1</v>
      </c>
    </row>
    <row r="75" spans="1:25" x14ac:dyDescent="0.2">
      <c r="A75" t="s">
        <v>3</v>
      </c>
      <c r="B75">
        <v>155.58500000000001</v>
      </c>
      <c r="C75">
        <v>155.66499999999999</v>
      </c>
      <c r="D75">
        <v>1871.7609318832499</v>
      </c>
      <c r="E75">
        <v>59.3430600733112</v>
      </c>
      <c r="F75">
        <v>214.275093071898</v>
      </c>
      <c r="G75">
        <v>603.07138928857444</v>
      </c>
      <c r="H75">
        <v>1.927121526527628</v>
      </c>
      <c r="I75">
        <v>1229.8929411132306</v>
      </c>
      <c r="K75">
        <v>1.2</v>
      </c>
      <c r="L75" s="9">
        <v>231.9259555555555</v>
      </c>
      <c r="M75">
        <v>-24.754000000000001</v>
      </c>
      <c r="N75" s="2"/>
      <c r="O75" s="3"/>
      <c r="P75" s="3">
        <v>-0.21943901481535899</v>
      </c>
      <c r="Q75" s="3">
        <v>0.17142731656810201</v>
      </c>
      <c r="R75" s="3">
        <v>-0.21943901481535899</v>
      </c>
      <c r="S75" s="3">
        <v>0.24677411556860199</v>
      </c>
      <c r="T75" s="3">
        <v>0.55758180037969829</v>
      </c>
      <c r="U75" s="3">
        <v>-37.335957900486598</v>
      </c>
      <c r="V75" s="3">
        <v>-297.38781258880698</v>
      </c>
      <c r="W75">
        <v>1</v>
      </c>
      <c r="X75">
        <v>1</v>
      </c>
    </row>
    <row r="76" spans="1:25" x14ac:dyDescent="0.2">
      <c r="A76" t="s">
        <v>3</v>
      </c>
      <c r="B76">
        <v>155.66499999999999</v>
      </c>
      <c r="C76">
        <v>155.815</v>
      </c>
      <c r="D76">
        <v>1926.6562712921</v>
      </c>
      <c r="E76">
        <v>59.3430600733112</v>
      </c>
      <c r="F76">
        <v>220.08373831372799</v>
      </c>
      <c r="I76">
        <v>1222.383182470438</v>
      </c>
      <c r="K76">
        <v>1.2</v>
      </c>
      <c r="L76" s="9">
        <v>230.84804444444438</v>
      </c>
      <c r="M76">
        <v>-24.753</v>
      </c>
      <c r="N76" s="2"/>
      <c r="O76" s="3"/>
      <c r="P76" s="3">
        <v>-0.35851374725170998</v>
      </c>
      <c r="Q76" s="3">
        <v>0.17142731656810201</v>
      </c>
      <c r="R76" s="3">
        <v>-0.35851374725170998</v>
      </c>
      <c r="S76" s="3">
        <v>0.25320467836214799</v>
      </c>
      <c r="T76" s="3">
        <v>0.56045749985567939</v>
      </c>
      <c r="U76" s="3">
        <v>-37.164412141891503</v>
      </c>
      <c r="V76" s="3">
        <v>-296.61617739235197</v>
      </c>
      <c r="W76">
        <v>1</v>
      </c>
      <c r="X76">
        <v>1</v>
      </c>
    </row>
    <row r="77" spans="1:25" x14ac:dyDescent="0.2">
      <c r="A77" t="s">
        <v>3</v>
      </c>
      <c r="B77">
        <v>155.815</v>
      </c>
      <c r="C77">
        <v>156.05500000000001</v>
      </c>
      <c r="D77">
        <v>1871.43036907548</v>
      </c>
      <c r="E77">
        <v>59.3430600733112</v>
      </c>
      <c r="F77">
        <v>214.240153699232</v>
      </c>
      <c r="G77">
        <v>576.73023406012021</v>
      </c>
      <c r="H77">
        <v>2.1375766878873601</v>
      </c>
      <c r="I77">
        <v>1234.3516901092951</v>
      </c>
      <c r="K77">
        <v>1.2</v>
      </c>
      <c r="L77" s="9">
        <v>238.87319999999988</v>
      </c>
      <c r="M77">
        <v>-24.641000000000002</v>
      </c>
      <c r="N77" s="2"/>
      <c r="O77" s="3"/>
      <c r="P77" s="3">
        <v>-0.50949122193899599</v>
      </c>
      <c r="Q77" s="3">
        <v>0.17142731656810201</v>
      </c>
      <c r="R77" s="3">
        <v>-0.50949122193899599</v>
      </c>
      <c r="S77" s="3">
        <v>0.263352571802623</v>
      </c>
      <c r="T77" s="3">
        <v>0.56511465834382291</v>
      </c>
      <c r="U77" s="3">
        <v>-37.117452688421402</v>
      </c>
      <c r="V77" s="3">
        <v>-295.247271507005</v>
      </c>
      <c r="W77">
        <v>1</v>
      </c>
      <c r="X77">
        <v>1</v>
      </c>
    </row>
    <row r="78" spans="1:25" x14ac:dyDescent="0.2">
      <c r="A78" t="s">
        <v>3</v>
      </c>
      <c r="B78">
        <v>156.32499999999999</v>
      </c>
      <c r="C78">
        <v>156.44499999999999</v>
      </c>
      <c r="D78">
        <v>1421.20009186372</v>
      </c>
      <c r="E78">
        <v>59.3430600733112</v>
      </c>
      <c r="F78">
        <v>167.21631547889501</v>
      </c>
      <c r="L78" s="9"/>
      <c r="N78" s="2"/>
      <c r="O78" s="3"/>
      <c r="P78" s="3">
        <v>-1.33457240425172</v>
      </c>
      <c r="Q78" s="3">
        <v>0.17142731656810201</v>
      </c>
      <c r="R78" s="3">
        <v>-1.33457240425172</v>
      </c>
      <c r="S78" s="3">
        <v>0.36085269148691301</v>
      </c>
      <c r="T78" s="3">
        <v>0.61661549198292875</v>
      </c>
      <c r="U78" s="3">
        <v>-36.679483908097502</v>
      </c>
      <c r="V78" s="3">
        <v>-292.63565725283502</v>
      </c>
      <c r="W78">
        <v>1</v>
      </c>
      <c r="X78">
        <v>1</v>
      </c>
    </row>
    <row r="79" spans="1:25" x14ac:dyDescent="0.2">
      <c r="A79" t="s">
        <v>3</v>
      </c>
      <c r="B79">
        <v>156.44499999999999</v>
      </c>
      <c r="C79">
        <v>156.655</v>
      </c>
      <c r="D79">
        <v>1521.2969073531999</v>
      </c>
      <c r="E79">
        <v>59.3430600733112</v>
      </c>
      <c r="F79">
        <v>177.55327248678299</v>
      </c>
      <c r="G79">
        <v>541.42262367888111</v>
      </c>
      <c r="H79">
        <v>0.35609245289026603</v>
      </c>
      <c r="N79" s="2"/>
      <c r="O79" s="3"/>
      <c r="P79" s="3">
        <v>-0.97756700510875905</v>
      </c>
      <c r="Q79" s="3">
        <v>0.17142731656810201</v>
      </c>
      <c r="R79" s="3">
        <v>-0.97756700510875905</v>
      </c>
      <c r="S79" s="3">
        <v>0.31176403712556799</v>
      </c>
      <c r="T79" s="3">
        <v>0.5892340917197787</v>
      </c>
      <c r="U79" s="3">
        <v>-36.883613777263797</v>
      </c>
      <c r="V79" s="3">
        <v>-294.74729814001302</v>
      </c>
      <c r="W79">
        <v>1</v>
      </c>
      <c r="X79">
        <v>1</v>
      </c>
    </row>
    <row r="80" spans="1:25" x14ac:dyDescent="0.2">
      <c r="A80" t="s">
        <v>3</v>
      </c>
      <c r="B80">
        <v>156.82499999999999</v>
      </c>
      <c r="C80">
        <v>156.89500000000001</v>
      </c>
      <c r="D80">
        <v>1674.4899622546</v>
      </c>
      <c r="E80">
        <v>59.3430600733112</v>
      </c>
      <c r="F80">
        <v>193.51741535719901</v>
      </c>
      <c r="G80">
        <v>574.97343809469703</v>
      </c>
      <c r="H80">
        <v>2.7</v>
      </c>
      <c r="N80" s="2"/>
      <c r="O80" s="3"/>
      <c r="P80" s="3">
        <v>-0.590595392793825</v>
      </c>
      <c r="Q80" s="3">
        <v>0.17142731656810201</v>
      </c>
      <c r="R80" s="3">
        <v>-0.590595392793825</v>
      </c>
      <c r="S80" s="3">
        <v>0.27004340685399397</v>
      </c>
      <c r="T80" s="3">
        <v>0.56826353181012035</v>
      </c>
      <c r="U80" s="3">
        <v>-36.807903637995501</v>
      </c>
      <c r="V80" s="3">
        <v>-294.60954054564002</v>
      </c>
      <c r="W80">
        <v>1</v>
      </c>
      <c r="X80">
        <v>1</v>
      </c>
    </row>
    <row r="81" spans="1:25" x14ac:dyDescent="0.2">
      <c r="A81" t="s">
        <v>3</v>
      </c>
      <c r="B81">
        <v>157.07499999999999</v>
      </c>
      <c r="C81">
        <v>157.17500000000001</v>
      </c>
      <c r="D81">
        <v>1712.3774776994401</v>
      </c>
      <c r="E81">
        <v>59.3430600733112</v>
      </c>
      <c r="F81">
        <v>197.48838435479101</v>
      </c>
      <c r="G81">
        <v>565.83977488244943</v>
      </c>
      <c r="H81">
        <v>2.7</v>
      </c>
      <c r="I81">
        <v>747.22882530605386</v>
      </c>
      <c r="K81">
        <v>1.2</v>
      </c>
      <c r="L81" s="9">
        <v>264.07317216167576</v>
      </c>
      <c r="M81">
        <v>-21.024956882759479</v>
      </c>
      <c r="N81" s="2"/>
      <c r="O81" s="3"/>
      <c r="P81" s="3">
        <v>1.6482020606778398E-2</v>
      </c>
      <c r="Q81" s="3">
        <v>0.17142731656810201</v>
      </c>
      <c r="R81" s="3">
        <v>1.6482020606778398E-2</v>
      </c>
      <c r="S81" s="3">
        <v>0.242862494316993</v>
      </c>
      <c r="T81" s="3">
        <v>0.55586166547610694</v>
      </c>
      <c r="U81" s="3">
        <v>-36.736985279693698</v>
      </c>
      <c r="V81" s="3">
        <v>-293.57491357810801</v>
      </c>
      <c r="W81">
        <v>1</v>
      </c>
      <c r="X81">
        <v>1</v>
      </c>
    </row>
    <row r="82" spans="1:25" x14ac:dyDescent="0.2">
      <c r="A82" t="s">
        <v>3</v>
      </c>
      <c r="B82">
        <v>157.17500000000001</v>
      </c>
      <c r="C82">
        <v>157.26499999999999</v>
      </c>
      <c r="D82">
        <v>1833.2346104774199</v>
      </c>
      <c r="E82">
        <v>61.828991696401097</v>
      </c>
      <c r="F82">
        <v>210.92152278164099</v>
      </c>
      <c r="G82">
        <v>588.16338429230473</v>
      </c>
      <c r="H82">
        <v>2.7</v>
      </c>
      <c r="I82">
        <v>870.23060797033418</v>
      </c>
      <c r="J82">
        <v>827.29896546832481</v>
      </c>
      <c r="K82">
        <v>4.6393090803526889</v>
      </c>
      <c r="L82" s="9">
        <v>286.58368810158362</v>
      </c>
      <c r="M82">
        <v>-21.219957094888269</v>
      </c>
      <c r="N82" s="1">
        <v>-39.385093971948535</v>
      </c>
      <c r="O82" s="3">
        <v>0.14455562116736803</v>
      </c>
      <c r="P82" s="3">
        <v>-0.86615374092457997</v>
      </c>
      <c r="Q82" s="3">
        <v>0.20904526340805399</v>
      </c>
      <c r="R82" s="3">
        <v>-0.86615374092457997</v>
      </c>
      <c r="S82" s="3">
        <v>0.32139199471991903</v>
      </c>
      <c r="T82" s="3">
        <v>0.59438439941678178</v>
      </c>
      <c r="U82" s="3">
        <v>-36.726580641609097</v>
      </c>
      <c r="V82" s="3">
        <v>-292.18817163707399</v>
      </c>
      <c r="W82">
        <v>1</v>
      </c>
      <c r="X82">
        <v>1</v>
      </c>
    </row>
    <row r="83" spans="1:25" x14ac:dyDescent="0.2">
      <c r="A83" t="s">
        <v>3</v>
      </c>
      <c r="B83">
        <v>157.345</v>
      </c>
      <c r="C83">
        <v>157.42500000000001</v>
      </c>
      <c r="D83">
        <v>1384.2938471636701</v>
      </c>
      <c r="E83">
        <v>59.3430600733112</v>
      </c>
      <c r="F83">
        <v>163.42722902850801</v>
      </c>
      <c r="G83">
        <v>584.61471143118547</v>
      </c>
      <c r="H83">
        <v>2.7</v>
      </c>
      <c r="I83">
        <v>466.70866078711151</v>
      </c>
      <c r="K83">
        <v>1.2</v>
      </c>
      <c r="N83" s="2"/>
      <c r="O83" s="3"/>
      <c r="P83" s="3">
        <v>-1.2168587872098999</v>
      </c>
      <c r="Q83" s="3">
        <v>0.17142731656810201</v>
      </c>
      <c r="R83" s="3">
        <v>-1.2168587872098999</v>
      </c>
      <c r="S83" s="3">
        <v>0.34380392258689801</v>
      </c>
      <c r="T83" s="3">
        <v>0.60679579529371974</v>
      </c>
      <c r="U83" s="3">
        <v>-36.552022534392798</v>
      </c>
      <c r="V83" s="3">
        <v>-291.83704854139802</v>
      </c>
      <c r="W83">
        <v>1</v>
      </c>
      <c r="X83">
        <v>1</v>
      </c>
    </row>
    <row r="84" spans="1:25" x14ac:dyDescent="0.2">
      <c r="A84" t="s">
        <v>3</v>
      </c>
      <c r="B84">
        <v>157.595</v>
      </c>
      <c r="C84">
        <v>157.66499999999999</v>
      </c>
      <c r="D84">
        <v>2206.7579916218801</v>
      </c>
      <c r="E84">
        <v>59.3430600733112</v>
      </c>
      <c r="F84">
        <v>249.891870346491</v>
      </c>
      <c r="G84">
        <v>583.31695466065696</v>
      </c>
      <c r="H84">
        <v>2.7</v>
      </c>
      <c r="I84">
        <v>837.7075259859472</v>
      </c>
      <c r="K84">
        <v>1.2</v>
      </c>
      <c r="L84" s="9">
        <v>227.83946082992915</v>
      </c>
      <c r="M84">
        <v>-22.867957094888268</v>
      </c>
      <c r="N84" s="2"/>
      <c r="O84" s="3"/>
      <c r="P84" s="3">
        <v>-5.2496644857624702E-2</v>
      </c>
      <c r="Q84" s="3">
        <v>0.17142731656810201</v>
      </c>
      <c r="R84" s="3">
        <v>-5.2496644857624702E-2</v>
      </c>
      <c r="S84" s="3">
        <v>0.24306698824520101</v>
      </c>
      <c r="T84" s="3">
        <v>0.55595104170654519</v>
      </c>
      <c r="U84" s="3">
        <v>-36.740818704466697</v>
      </c>
      <c r="V84" s="3">
        <v>-292.23105452810199</v>
      </c>
      <c r="W84">
        <v>1</v>
      </c>
      <c r="X84">
        <v>1</v>
      </c>
    </row>
    <row r="85" spans="1:25" x14ac:dyDescent="0.2">
      <c r="A85" t="s">
        <v>3</v>
      </c>
      <c r="B85">
        <v>158.745</v>
      </c>
      <c r="C85">
        <v>158.80500000000001</v>
      </c>
      <c r="D85">
        <v>2684.4022310854102</v>
      </c>
      <c r="E85">
        <v>61.828991696401097</v>
      </c>
      <c r="F85">
        <v>301.68793447384598</v>
      </c>
      <c r="G85">
        <v>1288.147377364947</v>
      </c>
      <c r="H85">
        <v>2.7</v>
      </c>
      <c r="I85">
        <v>973.95297283258083</v>
      </c>
      <c r="J85">
        <v>951.15536703371959</v>
      </c>
      <c r="K85">
        <v>0.96107743108558441</v>
      </c>
      <c r="L85" s="9">
        <v>233.23931623548319</v>
      </c>
      <c r="M85">
        <v>-23.51</v>
      </c>
      <c r="N85" s="1">
        <v>-93.602556916715358</v>
      </c>
      <c r="O85" s="3">
        <v>-2.481376791077694E-2</v>
      </c>
      <c r="P85" s="3">
        <v>0.62521022065764598</v>
      </c>
      <c r="Q85" s="3">
        <v>0.20904526340805399</v>
      </c>
      <c r="R85" s="3">
        <v>0.62521022065764598</v>
      </c>
      <c r="S85" s="3">
        <v>0.29819361990816301</v>
      </c>
      <c r="T85" s="3">
        <v>0.58216787523353952</v>
      </c>
      <c r="U85" s="3">
        <v>-35.966791880079001</v>
      </c>
      <c r="V85" s="3">
        <v>-284.78331482251502</v>
      </c>
      <c r="W85">
        <v>1</v>
      </c>
      <c r="X85">
        <v>1</v>
      </c>
    </row>
    <row r="86" spans="1:25" x14ac:dyDescent="0.2">
      <c r="A86" t="s">
        <v>3</v>
      </c>
      <c r="B86">
        <v>158.80500000000001</v>
      </c>
      <c r="C86">
        <v>158.89500000000001</v>
      </c>
      <c r="D86">
        <v>2848.48362058776</v>
      </c>
      <c r="E86">
        <v>53.234254365441501</v>
      </c>
      <c r="F86">
        <v>317.82318822358002</v>
      </c>
      <c r="G86">
        <v>733.8340898005581</v>
      </c>
      <c r="H86">
        <v>2.7</v>
      </c>
      <c r="N86" s="2"/>
      <c r="O86" s="3"/>
      <c r="P86" s="3">
        <v>0.494749904639047</v>
      </c>
      <c r="Q86" s="3">
        <v>0.18044464562582799</v>
      </c>
      <c r="R86" s="3">
        <v>0.494749904639047</v>
      </c>
      <c r="S86" s="3">
        <v>0.26820769724346899</v>
      </c>
      <c r="T86" s="3">
        <v>0.56739348679786972</v>
      </c>
      <c r="U86" s="3">
        <v>-35.848492163463</v>
      </c>
      <c r="V86" s="3">
        <v>-283.52189800227802</v>
      </c>
      <c r="W86">
        <v>1</v>
      </c>
      <c r="X86">
        <v>1</v>
      </c>
    </row>
    <row r="87" spans="1:25" x14ac:dyDescent="0.2">
      <c r="A87" t="s">
        <v>3</v>
      </c>
      <c r="B87">
        <v>158.89500000000001</v>
      </c>
      <c r="C87">
        <v>158.92500000000001</v>
      </c>
      <c r="D87">
        <v>3064.9777778322</v>
      </c>
      <c r="E87">
        <v>61.828991696401097</v>
      </c>
      <c r="F87">
        <v>342.77003724846901</v>
      </c>
      <c r="G87">
        <v>1228.6076019925324</v>
      </c>
      <c r="H87">
        <v>2.7</v>
      </c>
      <c r="I87">
        <v>1352.3222559603691</v>
      </c>
      <c r="J87">
        <v>1057.1147192781414</v>
      </c>
      <c r="K87">
        <v>39.905894833638733</v>
      </c>
      <c r="L87" s="9">
        <v>244.617294511784</v>
      </c>
      <c r="M87">
        <v>-23.806328851202533</v>
      </c>
      <c r="N87" s="2">
        <v>-113.16019776083209</v>
      </c>
      <c r="O87" s="3">
        <v>0.10974754909185219</v>
      </c>
      <c r="P87" s="3">
        <v>0.22896230872415699</v>
      </c>
      <c r="Q87" s="3">
        <v>0.20904526340805399</v>
      </c>
      <c r="R87" s="3">
        <v>0.22896230872415699</v>
      </c>
      <c r="S87" s="3">
        <v>0.27455577157654898</v>
      </c>
      <c r="T87" s="3">
        <v>0.57042166132256422</v>
      </c>
      <c r="U87" s="3">
        <v>-35.701104740826899</v>
      </c>
      <c r="V87" s="3">
        <v>-282.28824162195002</v>
      </c>
      <c r="W87">
        <v>1</v>
      </c>
      <c r="X87">
        <v>1</v>
      </c>
    </row>
    <row r="88" spans="1:25" x14ac:dyDescent="0.2">
      <c r="A88" t="s">
        <v>3</v>
      </c>
      <c r="B88">
        <v>158.92500000000001</v>
      </c>
      <c r="C88">
        <v>159.11500000000001</v>
      </c>
      <c r="D88">
        <v>2890.9967877511699</v>
      </c>
      <c r="E88">
        <v>59.3430600733112</v>
      </c>
      <c r="F88">
        <v>323.49920269298099</v>
      </c>
      <c r="L88" s="9"/>
      <c r="N88" s="2"/>
      <c r="O88" s="3"/>
      <c r="P88" s="3">
        <v>1.03445620633891</v>
      </c>
      <c r="Q88" s="3">
        <v>0.17142731656810201</v>
      </c>
      <c r="R88" s="3">
        <v>1.03445620633891</v>
      </c>
      <c r="S88" s="3">
        <v>0.319022429586171</v>
      </c>
      <c r="T88" s="3">
        <v>0.59310649176944896</v>
      </c>
      <c r="U88" s="3">
        <v>-35.860089362852797</v>
      </c>
      <c r="V88" s="3">
        <v>-284.35189813383499</v>
      </c>
      <c r="W88">
        <v>1</v>
      </c>
      <c r="X88">
        <v>1</v>
      </c>
    </row>
    <row r="89" spans="1:25" x14ac:dyDescent="0.2">
      <c r="A89" t="s">
        <v>3</v>
      </c>
      <c r="B89">
        <v>159.11500000000001</v>
      </c>
      <c r="C89">
        <v>159.29499999999999</v>
      </c>
      <c r="D89">
        <v>2895.4580083444498</v>
      </c>
      <c r="E89">
        <v>59.3430600733112</v>
      </c>
      <c r="F89">
        <v>323.98162204622798</v>
      </c>
      <c r="L89" s="9"/>
      <c r="N89" s="2"/>
      <c r="O89" s="3"/>
      <c r="P89" s="3">
        <v>1.3759576675031999</v>
      </c>
      <c r="Q89" s="3">
        <v>0.17142731656810201</v>
      </c>
      <c r="R89" s="3">
        <v>1.3759576675031999</v>
      </c>
      <c r="S89" s="3">
        <v>0.367017308823677</v>
      </c>
      <c r="T89" s="3">
        <v>0.62024326274146202</v>
      </c>
      <c r="U89" s="3">
        <v>-35.924299227801797</v>
      </c>
      <c r="V89" s="3">
        <v>-284.96939895896401</v>
      </c>
      <c r="W89">
        <v>1</v>
      </c>
      <c r="X89">
        <v>1</v>
      </c>
    </row>
    <row r="90" spans="1:25" x14ac:dyDescent="0.2">
      <c r="A90" t="s">
        <v>3</v>
      </c>
      <c r="B90">
        <v>159.405</v>
      </c>
      <c r="C90">
        <v>159.54499999999999</v>
      </c>
      <c r="D90">
        <v>2765.3316620317</v>
      </c>
      <c r="E90">
        <v>61.828991696401097</v>
      </c>
      <c r="F90">
        <v>310.40657297602002</v>
      </c>
      <c r="G90">
        <v>679.22104732318633</v>
      </c>
      <c r="H90">
        <v>2.7</v>
      </c>
      <c r="I90">
        <v>1443.8858872195815</v>
      </c>
      <c r="J90">
        <v>1384.8073019107528</v>
      </c>
      <c r="K90">
        <v>0.73287540577643984</v>
      </c>
      <c r="L90" s="9">
        <v>249.17358811675933</v>
      </c>
      <c r="M90">
        <v>-24.957540859607835</v>
      </c>
      <c r="N90" s="2">
        <v>-304.12189306177345</v>
      </c>
      <c r="O90" s="3">
        <v>0.51873706963389932</v>
      </c>
      <c r="P90" s="3">
        <v>-1.7437458417538501</v>
      </c>
      <c r="Q90" s="3">
        <v>0.20904526340805399</v>
      </c>
      <c r="R90" s="3"/>
      <c r="S90" s="3"/>
      <c r="T90" s="3"/>
      <c r="U90" s="3">
        <v>-35.973234648233699</v>
      </c>
      <c r="V90" s="3">
        <v>-284.91527696105504</v>
      </c>
      <c r="W90">
        <v>1</v>
      </c>
      <c r="X90">
        <v>1</v>
      </c>
      <c r="Y90" t="s">
        <v>20</v>
      </c>
    </row>
    <row r="91" spans="1:25" x14ac:dyDescent="0.2">
      <c r="A91" t="s">
        <v>3</v>
      </c>
      <c r="B91">
        <v>159.5</v>
      </c>
      <c r="C91">
        <v>159.67500000000001</v>
      </c>
      <c r="D91">
        <v>3003.8167204401698</v>
      </c>
      <c r="E91">
        <v>59.3430600733112</v>
      </c>
      <c r="F91">
        <v>335.70652205135298</v>
      </c>
      <c r="L91" s="9"/>
      <c r="N91" s="2"/>
      <c r="O91" s="3"/>
      <c r="P91" s="3">
        <v>-3.17735855337797</v>
      </c>
      <c r="Q91" s="3">
        <v>0.17142731656810201</v>
      </c>
      <c r="R91" s="3"/>
      <c r="S91" s="3"/>
      <c r="T91" s="3"/>
      <c r="U91" s="3">
        <v>-35.636792369821102</v>
      </c>
      <c r="V91" s="3">
        <v>-282.27204746074301</v>
      </c>
      <c r="W91">
        <v>1</v>
      </c>
      <c r="X91">
        <v>1</v>
      </c>
      <c r="Y91" t="s">
        <v>20</v>
      </c>
    </row>
    <row r="92" spans="1:25" x14ac:dyDescent="0.2">
      <c r="A92" t="s">
        <v>3</v>
      </c>
      <c r="B92">
        <v>159.67500000000001</v>
      </c>
      <c r="C92">
        <v>159.755</v>
      </c>
      <c r="D92">
        <v>3987.6967412151398</v>
      </c>
      <c r="E92">
        <v>61.828991696401097</v>
      </c>
      <c r="F92">
        <v>442.98273142748701</v>
      </c>
      <c r="G92">
        <v>13628.178453155411</v>
      </c>
      <c r="H92">
        <v>2.7</v>
      </c>
      <c r="I92">
        <v>1230.1949616285831</v>
      </c>
      <c r="J92">
        <v>1226.1200134849689</v>
      </c>
      <c r="K92">
        <v>28.545809908387351</v>
      </c>
      <c r="M92">
        <v>-25.342011143776908</v>
      </c>
      <c r="N92" s="2">
        <v>-485.86674630818391</v>
      </c>
      <c r="O92" s="3">
        <v>-1.1530722502939939</v>
      </c>
      <c r="P92" s="3">
        <v>-14.766696670482601</v>
      </c>
      <c r="Q92" s="3">
        <v>0.20904526340805399</v>
      </c>
      <c r="R92" s="3"/>
      <c r="S92" s="3"/>
      <c r="T92" s="3"/>
      <c r="U92" s="3">
        <v>-34.308636532588601</v>
      </c>
      <c r="V92" s="3">
        <v>-270.67773228067199</v>
      </c>
      <c r="W92">
        <v>1</v>
      </c>
      <c r="X92">
        <v>1</v>
      </c>
      <c r="Y9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Tierney, Jessica E - (jesst)</dc:creator>
  <cp:lastModifiedBy>Tierney, Jessica E - (jesst)</cp:lastModifiedBy>
  <dcterms:created xsi:type="dcterms:W3CDTF">2026-06-21T18:04:08Z</dcterms:created>
  <dcterms:modified xsi:type="dcterms:W3CDTF">2026-08-19T20:52:59Z</dcterms:modified>
</cp:coreProperties>
</file>